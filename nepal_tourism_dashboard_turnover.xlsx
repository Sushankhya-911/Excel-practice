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E8419C76-FF7C-4CCB-BE14-A3639D654C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urism_Data" sheetId="1" r:id="rId1"/>
    <sheet name="Project_Tasks" sheetId="2" r:id="rId2"/>
  </sheets>
  <definedNames>
    <definedName name="_xlnm._FilterDatabase" localSheetId="0" hidden="1">Tourism_Data!$A$1:$J$1</definedName>
    <definedName name="Slicer_Country">#N/A</definedName>
    <definedName name="Slicer_Province">#N/A</definedName>
  </definedNames>
  <calcPr calcId="191028"/>
  <pivotCaches>
    <pivotCache cacheId="53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/>
  <c r="L3" i="1"/>
  <c r="L4" i="1"/>
  <c r="L5" i="1"/>
  <c r="L6" i="1"/>
  <c r="L7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<sst xmlns="http://schemas.openxmlformats.org/spreadsheetml/2006/main" count="2552" uniqueCount="320">
  <si>
    <t>Record_ID</t>
  </si>
  <si>
    <t>Date</t>
  </si>
  <si>
    <t>Year</t>
  </si>
  <si>
    <t>Month</t>
  </si>
  <si>
    <t>Country</t>
  </si>
  <si>
    <t>Province</t>
  </si>
  <si>
    <t>Destination</t>
  </si>
  <si>
    <t>Tourists</t>
  </si>
  <si>
    <t>Avg_Stay_Days</t>
  </si>
  <si>
    <t>Revenue_USD</t>
  </si>
  <si>
    <t>2024-07-07</t>
  </si>
  <si>
    <t>July</t>
  </si>
  <si>
    <t>Japan</t>
  </si>
  <si>
    <t>Bagmati</t>
  </si>
  <si>
    <t>Lumbini</t>
  </si>
  <si>
    <t>Pokhara</t>
  </si>
  <si>
    <t>Sum of Tourists</t>
  </si>
  <si>
    <t xml:space="preserve"> </t>
  </si>
  <si>
    <t>2024-06-24</t>
  </si>
  <si>
    <t>June</t>
  </si>
  <si>
    <t>Australia</t>
  </si>
  <si>
    <t>Madhesh</t>
  </si>
  <si>
    <t>Kathmandu</t>
  </si>
  <si>
    <t>USA</t>
  </si>
  <si>
    <t>2024-02-28</t>
  </si>
  <si>
    <t>February</t>
  </si>
  <si>
    <t>Chitwan</t>
  </si>
  <si>
    <t>Mustang</t>
  </si>
  <si>
    <t>Grand Total</t>
  </si>
  <si>
    <t>2024-06-04</t>
  </si>
  <si>
    <t>Everest Region</t>
  </si>
  <si>
    <t>2024-03-17</t>
  </si>
  <si>
    <t>March</t>
  </si>
  <si>
    <t>Germany</t>
  </si>
  <si>
    <t>2024-09-10</t>
  </si>
  <si>
    <t>September</t>
  </si>
  <si>
    <t>China</t>
  </si>
  <si>
    <t>2024-10-18</t>
  </si>
  <si>
    <t>October</t>
  </si>
  <si>
    <t>2024-04-12</t>
  </si>
  <si>
    <t>April</t>
  </si>
  <si>
    <t>India</t>
  </si>
  <si>
    <t>Sudurpashchim</t>
  </si>
  <si>
    <t>2024-05-19</t>
  </si>
  <si>
    <t>May</t>
  </si>
  <si>
    <t>Koshi</t>
  </si>
  <si>
    <t>2024-03-13</t>
  </si>
  <si>
    <t>2024-10-08</t>
  </si>
  <si>
    <t>UK</t>
  </si>
  <si>
    <t>Karnali</t>
  </si>
  <si>
    <t>2024-10-25</t>
  </si>
  <si>
    <t>Gandaki</t>
  </si>
  <si>
    <t>Sum of Avg_Stay_Days</t>
  </si>
  <si>
    <t>2024-03-23</t>
  </si>
  <si>
    <t>2024-12-22</t>
  </si>
  <si>
    <t>December</t>
  </si>
  <si>
    <t>2024-12-14</t>
  </si>
  <si>
    <t>2024-09-16</t>
  </si>
  <si>
    <t>2024-03-01</t>
  </si>
  <si>
    <t>2024-09-14</t>
  </si>
  <si>
    <t>2024-11-09</t>
  </si>
  <si>
    <t>November</t>
  </si>
  <si>
    <t>France</t>
  </si>
  <si>
    <t>2024-02-04</t>
  </si>
  <si>
    <t>2024-02-21</t>
  </si>
  <si>
    <t>2024-09-04</t>
  </si>
  <si>
    <t>2024-03-19</t>
  </si>
  <si>
    <t>2024-07-19</t>
  </si>
  <si>
    <t>2024-10-06</t>
  </si>
  <si>
    <t>2024-09-09</t>
  </si>
  <si>
    <t>2024-12-25</t>
  </si>
  <si>
    <t>2024-05-11</t>
  </si>
  <si>
    <t>2024-11-01</t>
  </si>
  <si>
    <t>2024-02-14</t>
  </si>
  <si>
    <t>2024-12-02</t>
  </si>
  <si>
    <t>2024-10-28</t>
  </si>
  <si>
    <t>2024-04-15</t>
  </si>
  <si>
    <t>2024-02-22</t>
  </si>
  <si>
    <t>2024-11-30</t>
  </si>
  <si>
    <t>2024-04-07</t>
  </si>
  <si>
    <t>2024-06-29</t>
  </si>
  <si>
    <t>2024-11-21</t>
  </si>
  <si>
    <t>2024-04-05</t>
  </si>
  <si>
    <t>2024-07-17</t>
  </si>
  <si>
    <t>2024-08-30</t>
  </si>
  <si>
    <t>August</t>
  </si>
  <si>
    <t>2024-03-08</t>
  </si>
  <si>
    <t>2024-08-31</t>
  </si>
  <si>
    <t>2024-04-10</t>
  </si>
  <si>
    <t>2024-11-17</t>
  </si>
  <si>
    <t>2024-03-30</t>
  </si>
  <si>
    <t>2024-06-27</t>
  </si>
  <si>
    <t>2024-11-06</t>
  </si>
  <si>
    <t>2024-08-06</t>
  </si>
  <si>
    <t>2024-01-30</t>
  </si>
  <si>
    <t>January</t>
  </si>
  <si>
    <t>2024-08-07</t>
  </si>
  <si>
    <t>2024-05-27</t>
  </si>
  <si>
    <t>2024-01-12</t>
  </si>
  <si>
    <t>2024-07-21</t>
  </si>
  <si>
    <t>2024-01-23</t>
  </si>
  <si>
    <t>2024-08-16</t>
  </si>
  <si>
    <t>2024-08-24</t>
  </si>
  <si>
    <t>2024-08-14</t>
  </si>
  <si>
    <t>2024-09-17</t>
  </si>
  <si>
    <t>2024-08-04</t>
  </si>
  <si>
    <t>2024-10-10</t>
  </si>
  <si>
    <t>2024-02-05</t>
  </si>
  <si>
    <t>2024-05-01</t>
  </si>
  <si>
    <t>2024-11-23</t>
  </si>
  <si>
    <t>2024-03-02</t>
  </si>
  <si>
    <t>2024-10-17</t>
  </si>
  <si>
    <t>2024-02-15</t>
  </si>
  <si>
    <t>2024-11-24</t>
  </si>
  <si>
    <t>2024-07-24</t>
  </si>
  <si>
    <t>2024-01-31</t>
  </si>
  <si>
    <t>2024-07-08</t>
  </si>
  <si>
    <t>2024-09-18</t>
  </si>
  <si>
    <t>2024-03-05</t>
  </si>
  <si>
    <t>2024-08-13</t>
  </si>
  <si>
    <t>2024-10-01</t>
  </si>
  <si>
    <t>2024-01-15</t>
  </si>
  <si>
    <t>2024-07-23</t>
  </si>
  <si>
    <t>2024-02-19</t>
  </si>
  <si>
    <t>2024-11-25</t>
  </si>
  <si>
    <t>2024-01-11</t>
  </si>
  <si>
    <t>2024-12-08</t>
  </si>
  <si>
    <t>2024-12-23</t>
  </si>
  <si>
    <t>2024-12-10</t>
  </si>
  <si>
    <t>2024-08-28</t>
  </si>
  <si>
    <t>2024-04-29</t>
  </si>
  <si>
    <t>2024-02-25</t>
  </si>
  <si>
    <t>2024-01-08</t>
  </si>
  <si>
    <t>2024-09-28</t>
  </si>
  <si>
    <t>2024-12-26</t>
  </si>
  <si>
    <t>2024-12-05</t>
  </si>
  <si>
    <t>2024-06-26</t>
  </si>
  <si>
    <t>2024-10-20</t>
  </si>
  <si>
    <t>2024-10-11</t>
  </si>
  <si>
    <t>2024-04-18</t>
  </si>
  <si>
    <t>2024-06-08</t>
  </si>
  <si>
    <t>2024-01-14</t>
  </si>
  <si>
    <t>2024-06-21</t>
  </si>
  <si>
    <t>2024-12-04</t>
  </si>
  <si>
    <t>2024-05-21</t>
  </si>
  <si>
    <t>2024-03-12</t>
  </si>
  <si>
    <t>2024-07-27</t>
  </si>
  <si>
    <t>2024-06-15</t>
  </si>
  <si>
    <t>2024-01-22</t>
  </si>
  <si>
    <t>2024-09-15</t>
  </si>
  <si>
    <t>2024-02-17</t>
  </si>
  <si>
    <t>2024-07-13</t>
  </si>
  <si>
    <t>2024-02-26</t>
  </si>
  <si>
    <t>2024-07-29</t>
  </si>
  <si>
    <t>2024-11-08</t>
  </si>
  <si>
    <t>2024-07-02</t>
  </si>
  <si>
    <t>2024-03-07</t>
  </si>
  <si>
    <t>2024-02-27</t>
  </si>
  <si>
    <t>2024-12-12</t>
  </si>
  <si>
    <t>2024-06-12</t>
  </si>
  <si>
    <t>2024-10-31</t>
  </si>
  <si>
    <t>2024-05-09</t>
  </si>
  <si>
    <t>2024-05-15</t>
  </si>
  <si>
    <t>2024-11-16</t>
  </si>
  <si>
    <t>2024-02-03</t>
  </si>
  <si>
    <t>2024-10-13</t>
  </si>
  <si>
    <t>2024-08-08</t>
  </si>
  <si>
    <t>2024-11-13</t>
  </si>
  <si>
    <t>2024-05-29</t>
  </si>
  <si>
    <t>2024-07-30</t>
  </si>
  <si>
    <t>2024-07-20</t>
  </si>
  <si>
    <t>2024-03-14</t>
  </si>
  <si>
    <t>2024-08-12</t>
  </si>
  <si>
    <t>2024-04-21</t>
  </si>
  <si>
    <t>2024-06-09</t>
  </si>
  <si>
    <t>2024-09-07</t>
  </si>
  <si>
    <t>2024-03-31</t>
  </si>
  <si>
    <t>2024-05-04</t>
  </si>
  <si>
    <t>2024-10-04</t>
  </si>
  <si>
    <t>2024-01-04</t>
  </si>
  <si>
    <t>2024-08-15</t>
  </si>
  <si>
    <t>2024-06-25</t>
  </si>
  <si>
    <t>2024-06-07</t>
  </si>
  <si>
    <t>2024-12-01</t>
  </si>
  <si>
    <t>2024-02-02</t>
  </si>
  <si>
    <t>2024-10-05</t>
  </si>
  <si>
    <t>2024-06-19</t>
  </si>
  <si>
    <t>2024-12-30</t>
  </si>
  <si>
    <t>2024-03-25</t>
  </si>
  <si>
    <t>2024-01-25</t>
  </si>
  <si>
    <t>2024-10-09</t>
  </si>
  <si>
    <t>2024-12-20</t>
  </si>
  <si>
    <t>2024-02-10</t>
  </si>
  <si>
    <t>2024-05-03</t>
  </si>
  <si>
    <t>2024-01-29</t>
  </si>
  <si>
    <t>2024-02-20</t>
  </si>
  <si>
    <t>2024-03-27</t>
  </si>
  <si>
    <t>2024-05-28</t>
  </si>
  <si>
    <t>2024-06-16</t>
  </si>
  <si>
    <t>2024-08-10</t>
  </si>
  <si>
    <t>2024-05-26</t>
  </si>
  <si>
    <t>2024-06-23</t>
  </si>
  <si>
    <t>2024-08-20</t>
  </si>
  <si>
    <t>2024-01-16</t>
  </si>
  <si>
    <t>2024-10-23</t>
  </si>
  <si>
    <t>2024-06-18</t>
  </si>
  <si>
    <t>2024-07-18</t>
  </si>
  <si>
    <t>2024-02-09</t>
  </si>
  <si>
    <t>2024-09-06</t>
  </si>
  <si>
    <t>2024-03-22</t>
  </si>
  <si>
    <t>2024-11-11</t>
  </si>
  <si>
    <t>2024-02-29</t>
  </si>
  <si>
    <t>2024-11-19</t>
  </si>
  <si>
    <t>2024-07-06</t>
  </si>
  <si>
    <t>2024-07-05</t>
  </si>
  <si>
    <t>2024-06-10</t>
  </si>
  <si>
    <t>2024-01-03</t>
  </si>
  <si>
    <t>2024-08-09</t>
  </si>
  <si>
    <t>2024-05-16</t>
  </si>
  <si>
    <t>2024-05-05</t>
  </si>
  <si>
    <t>2024-09-08</t>
  </si>
  <si>
    <t>2024-04-11</t>
  </si>
  <si>
    <t>2024-12-17</t>
  </si>
  <si>
    <t>2024-02-13</t>
  </si>
  <si>
    <t>2024-06-02</t>
  </si>
  <si>
    <t>2024-05-20</t>
  </si>
  <si>
    <t>2024-10-15</t>
  </si>
  <si>
    <t>2024-03-29</t>
  </si>
  <si>
    <t>2024-06-28</t>
  </si>
  <si>
    <t>2024-02-24</t>
  </si>
  <si>
    <t>2024-04-25</t>
  </si>
  <si>
    <t>2024-11-04</t>
  </si>
  <si>
    <t>2024-12-21</t>
  </si>
  <si>
    <t>2024-12-19</t>
  </si>
  <si>
    <t>2024-05-06</t>
  </si>
  <si>
    <t>2024-09-11</t>
  </si>
  <si>
    <t>2024-11-22</t>
  </si>
  <si>
    <t>2024-04-08</t>
  </si>
  <si>
    <t>2024-09-03</t>
  </si>
  <si>
    <t>2024-11-07</t>
  </si>
  <si>
    <t>2024-12-24</t>
  </si>
  <si>
    <t>2024-02-16</t>
  </si>
  <si>
    <t>2024-04-14</t>
  </si>
  <si>
    <t>2024-10-21</t>
  </si>
  <si>
    <t>2024-05-10</t>
  </si>
  <si>
    <t>2024-05-31</t>
  </si>
  <si>
    <t>2024-08-21</t>
  </si>
  <si>
    <t>2024-11-28</t>
  </si>
  <si>
    <t>2024-10-19</t>
  </si>
  <si>
    <t>2024-11-29</t>
  </si>
  <si>
    <t>2024-03-09</t>
  </si>
  <si>
    <t>2024-11-27</t>
  </si>
  <si>
    <t>2024-11-26</t>
  </si>
  <si>
    <t>2024-08-23</t>
  </si>
  <si>
    <t>2024-04-06</t>
  </si>
  <si>
    <t>2024-12-28</t>
  </si>
  <si>
    <t>2024-11-14</t>
  </si>
  <si>
    <t>2024-07-09</t>
  </si>
  <si>
    <t>2024-06-20</t>
  </si>
  <si>
    <t>2024-08-26</t>
  </si>
  <si>
    <t>2024-06-03</t>
  </si>
  <si>
    <t>2024-03-20</t>
  </si>
  <si>
    <t>2024-04-27</t>
  </si>
  <si>
    <t>2024-01-07</t>
  </si>
  <si>
    <t>2024-03-15</t>
  </si>
  <si>
    <t>2024-08-29</t>
  </si>
  <si>
    <t>2024-08-05</t>
  </si>
  <si>
    <t>2024-01-17</t>
  </si>
  <si>
    <t>2024-11-12</t>
  </si>
  <si>
    <t>2024-05-13</t>
  </si>
  <si>
    <t>2024-08-18</t>
  </si>
  <si>
    <t>2024-05-07</t>
  </si>
  <si>
    <t>2024-01-26</t>
  </si>
  <si>
    <t>2024-09-05</t>
  </si>
  <si>
    <t>2024-07-11</t>
  </si>
  <si>
    <t>2024-01-20</t>
  </si>
  <si>
    <t>2024-04-28</t>
  </si>
  <si>
    <t>2024-07-22</t>
  </si>
  <si>
    <t>2024-12-13</t>
  </si>
  <si>
    <t>2024-07-26</t>
  </si>
  <si>
    <t>2024-06-13</t>
  </si>
  <si>
    <t>2024-07-10</t>
  </si>
  <si>
    <t>2024-10-14</t>
  </si>
  <si>
    <t>2024-01-28</t>
  </si>
  <si>
    <t>2024-12-15</t>
  </si>
  <si>
    <t>2024-08-22</t>
  </si>
  <si>
    <t>2024-11-15</t>
  </si>
  <si>
    <t>2024-11-20</t>
  </si>
  <si>
    <t>2024-07-15</t>
  </si>
  <si>
    <t>2024-04-23</t>
  </si>
  <si>
    <t>2024-06-06</t>
  </si>
  <si>
    <t>2024-12-18</t>
  </si>
  <si>
    <t>2024-11-05</t>
  </si>
  <si>
    <t>2024-08-27</t>
  </si>
  <si>
    <t>2024-02-08</t>
  </si>
  <si>
    <t>2024-03-11</t>
  </si>
  <si>
    <t>2024-05-17</t>
  </si>
  <si>
    <t>2024-04-03</t>
  </si>
  <si>
    <t>2024-07-04</t>
  </si>
  <si>
    <t>2024-05-18</t>
  </si>
  <si>
    <t>2024-01-02</t>
  </si>
  <si>
    <t>2024-07-28</t>
  </si>
  <si>
    <t>2024-09-21</t>
  </si>
  <si>
    <t>2024-01-09</t>
  </si>
  <si>
    <t>2024-08-11</t>
  </si>
  <si>
    <t>2024-10-03</t>
  </si>
  <si>
    <t>2024-03-16</t>
  </si>
  <si>
    <t>Task Type</t>
  </si>
  <si>
    <t>Task</t>
  </si>
  <si>
    <t>Functions</t>
  </si>
  <si>
    <t>Use SUMIFS to calculate total revenue by destination</t>
  </si>
  <si>
    <t>Use IF to classify high and low tourist seasons</t>
  </si>
  <si>
    <t>Pivot Table</t>
  </si>
  <si>
    <t>Create tourists by country Pivot Table</t>
  </si>
  <si>
    <t>Create revenue by province Pivot Table</t>
  </si>
  <si>
    <t>Conditional Formatting</t>
  </si>
  <si>
    <t>Highlight top revenue months</t>
  </si>
  <si>
    <t>Dashboard</t>
  </si>
  <si>
    <t>Create KPI cards for Total Tourists and Revenue</t>
  </si>
  <si>
    <t>Add slicers for Country and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</si>
</sst>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  <xf numFmtId="0" fontId="0" fillId="0" borderId="0" xfId="0" applyNumberFormat="1"/>
    <xf numFmtId="0" fontId="0" fillId="0" borderId="0" xfId="0" applyFill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theme="8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ickr.com/photos/ervins_strauhmanis/9544834557/" TargetMode="External"/><Relationship Id="rId2" Type="http://schemas.openxmlformats.org/officeDocument/2006/relationships/image" Target="../media/image2.xlsrvcdf"/><Relationship Id="rId1" Type="http://schemas.openxmlformats.org/officeDocument/2006/relationships/image" Target="../media/image1.xlsrvcdf"/><Relationship Id="rId4" Type="http://schemas.openxmlformats.org/officeDocument/2006/relationships/hyperlink" Target="https://creativecommons.org/licenses/by/3.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685800</xdr:colOff>
      <xdr:row>13</xdr:row>
      <xdr:rowOff>152400</xdr:rowOff>
    </xdr:from>
    <xdr:to>
      <xdr:col>12</xdr:col>
      <xdr:colOff>828675</xdr:colOff>
      <xdr:row>18</xdr:row>
      <xdr:rowOff>152400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87EB83EA-2A4A-8C39-2429-A08D51CED6A4}"/>
            </a:ext>
            <a:ext uri="{147F2762-F138-4A5C-976F-8EAC2B608ADB}">
              <a16:predDERef xmlns:a16="http://schemas.microsoft.com/office/drawing/2014/main" pred="{867523FA-D209-F2A8-7707-0845959E2010}"/>
            </a:ext>
          </a:extLst>
        </xdr:cNvPr>
        <xdr:cNvSpPr/>
      </xdr:nvSpPr>
      <xdr:spPr>
        <a:xfrm>
          <a:off x="8515350" y="2628900"/>
          <a:ext cx="1809750" cy="9525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Total Tourists:</a:t>
          </a:r>
          <a:endParaRPr lang="en-US" sz="1400">
            <a:solidFill>
              <a:srgbClr val="FF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rgbClr val="FF0000"/>
              </a:solidFill>
              <a:latin typeface="+mn-lt"/>
              <a:ea typeface="+mn-lt"/>
              <a:cs typeface="+mn-lt"/>
            </a:rPr>
            <a:t>320591    </a:t>
          </a:r>
        </a:p>
      </xdr:txBody>
    </xdr:sp>
    <xdr:clientData/>
  </xdr:twoCellAnchor>
  <xdr:twoCellAnchor editAs="oneCell">
    <xdr:from>
      <xdr:col>18</xdr:col>
      <xdr:colOff>361950</xdr:colOff>
      <xdr:row>0</xdr:row>
      <xdr:rowOff>76200</xdr:rowOff>
    </xdr:from>
    <xdr:to>
      <xdr:col>19</xdr:col>
      <xdr:colOff>1209675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">
              <a:extLst>
                <a:ext uri="{FF2B5EF4-FFF2-40B4-BE49-F238E27FC236}">
                  <a16:creationId xmlns:a16="http://schemas.microsoft.com/office/drawing/2014/main" id="{867523FA-D209-F2A8-7707-0845959E2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2275" y="76200"/>
              <a:ext cx="1828800" cy="2066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57150</xdr:colOff>
      <xdr:row>0</xdr:row>
      <xdr:rowOff>95250</xdr:rowOff>
    </xdr:from>
    <xdr:to>
      <xdr:col>15</xdr:col>
      <xdr:colOff>561975</xdr:colOff>
      <xdr:row>13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130DAEFA-27C9-8D85-7FC3-73966E4D7FAF}"/>
                </a:ext>
                <a:ext uri="{147F2762-F138-4A5C-976F-8EAC2B608ADB}">
                  <a16:predDERef xmlns:a16="http://schemas.microsoft.com/office/drawing/2014/main" pred="{867523FA-D209-F2A8-7707-0845959E2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95250"/>
              <a:ext cx="1724025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47625</xdr:colOff>
      <xdr:row>16</xdr:row>
      <xdr:rowOff>47625</xdr:rowOff>
    </xdr:from>
    <xdr:to>
      <xdr:col>12</xdr:col>
      <xdr:colOff>695325</xdr:colOff>
      <xdr:row>18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E7E40B-D701-BC4A-116B-312619078C8A}"/>
            </a:ext>
            <a:ext uri="{147F2762-F138-4A5C-976F-8EAC2B608ADB}">
              <a16:predDERef xmlns:a16="http://schemas.microsoft.com/office/drawing/2014/main" pred="{130DAEFA-27C9-8D85-7FC3-73966E4D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5094"/>
        <a:stretch>
          <a:fillRect/>
        </a:stretch>
      </xdr:blipFill>
      <xdr:spPr>
        <a:xfrm>
          <a:off x="9544050" y="3095625"/>
          <a:ext cx="647700" cy="428625"/>
        </a:xfrm>
        <a:prstGeom prst="rect">
          <a:avLst/>
        </a:prstGeom>
      </xdr:spPr>
    </xdr:pic>
    <xdr:clientData/>
  </xdr:twoCellAnchor>
  <xdr:twoCellAnchor>
    <xdr:from>
      <xdr:col>13</xdr:col>
      <xdr:colOff>66675</xdr:colOff>
      <xdr:row>13</xdr:row>
      <xdr:rowOff>171450</xdr:rowOff>
    </xdr:from>
    <xdr:to>
      <xdr:col>15</xdr:col>
      <xdr:colOff>590550</xdr:colOff>
      <xdr:row>18</xdr:row>
      <xdr:rowOff>171450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19517F35-0C69-21CC-6E0C-BF02A8F92453}"/>
            </a:ext>
            <a:ext uri="{147F2762-F138-4A5C-976F-8EAC2B608ADB}">
              <a16:predDERef xmlns:a16="http://schemas.microsoft.com/office/drawing/2014/main" pred="{DFE7E40B-D701-BC4A-116B-312619078C8A}"/>
            </a:ext>
          </a:extLst>
        </xdr:cNvPr>
        <xdr:cNvSpPr/>
      </xdr:nvSpPr>
      <xdr:spPr>
        <a:xfrm>
          <a:off x="10448925" y="2647950"/>
          <a:ext cx="1743075" cy="9525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Total Revenue:</a:t>
          </a: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$</a:t>
          </a:r>
          <a:r>
            <a:rPr lang="en-US" sz="1400">
              <a:solidFill>
                <a:srgbClr val="7030A0"/>
              </a:solidFill>
              <a:latin typeface="+mn-lt"/>
              <a:ea typeface="+mn-lt"/>
              <a:cs typeface="+mn-lt"/>
            </a:rPr>
            <a:t>53,488,219</a:t>
          </a:r>
        </a:p>
      </xdr:txBody>
    </xdr:sp>
    <xdr:clientData/>
  </xdr:twoCellAnchor>
  <xdr:twoCellAnchor editAs="oneCell">
    <xdr:from>
      <xdr:col>14</xdr:col>
      <xdr:colOff>371475</xdr:colOff>
      <xdr:row>16</xdr:row>
      <xdr:rowOff>104775</xdr:rowOff>
    </xdr:from>
    <xdr:to>
      <xdr:col>15</xdr:col>
      <xdr:colOff>542925</xdr:colOff>
      <xdr:row>18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FA1FCF-3A56-745E-D4F6-989E2FF34210}"/>
            </a:ext>
            <a:ext uri="{147F2762-F138-4A5C-976F-8EAC2B608ADB}">
              <a16:predDERef xmlns:a16="http://schemas.microsoft.com/office/drawing/2014/main" pred="{19517F35-0C69-21CC-6E0C-BF02A8F92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11468100" y="3152775"/>
          <a:ext cx="781050" cy="3905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35</xdr:row>
      <xdr:rowOff>123825</xdr:rowOff>
    </xdr:from>
    <xdr:to>
      <xdr:col>18</xdr:col>
      <xdr:colOff>714375</xdr:colOff>
      <xdr:row>36</xdr:row>
      <xdr:rowOff>166530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C6F577-86C0-5539-C2FE-E9EEE2197963}"/>
            </a:ext>
            <a:ext uri="{147F2762-F138-4A5C-976F-8EAC2B608ADB}">
              <a16:predDERef xmlns:a16="http://schemas.microsoft.com/office/drawing/2014/main" pred="{21FA1FCF-3A56-745E-D4F6-989E2FF34210}"/>
            </a:ext>
          </a:extLst>
        </xdr:cNvPr>
        <xdr:cNvSpPr txBox="1"/>
      </xdr:nvSpPr>
      <xdr:spPr>
        <a:xfrm>
          <a:off x="11706225" y="6791325"/>
          <a:ext cx="3038475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3" tooltip="https://www.flickr.com/photos/ervins_strauhmanis/9544834557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4" tooltip="https://creativecommons.org/licenses/by/3.0/"/>
            </a:rPr>
            <a:t>CC BY</a:t>
          </a:r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2.261536342594" createdVersion="8" refreshedVersion="8" minRefreshableVersion="3" recordCount="500" xr:uid="{BEA302DE-51B6-43D9-BA40-656B8F78E9CA}">
  <cacheSource type="worksheet">
    <worksheetSource name="Table1"/>
  </cacheSource>
  <cacheFields count="10">
    <cacheField name="Record_ID" numFmtId="0">
      <sharedItems containsSemiMixedTypes="0" containsString="0" containsNumber="1" containsInteger="1" minValue="1" maxValue="500"/>
    </cacheField>
    <cacheField name="Date" numFmtId="0">
      <sharedItems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/>
    </cacheField>
    <cacheField name="Country" numFmtId="0">
      <sharedItems count="8">
        <s v="Japan"/>
        <s v="Australia"/>
        <s v="USA"/>
        <s v="Germany"/>
        <s v="China"/>
        <s v="India"/>
        <s v="UK"/>
        <s v="France"/>
      </sharedItems>
    </cacheField>
    <cacheField name="Province" numFmtId="0">
      <sharedItems count="7">
        <s v="Bagmati"/>
        <s v="Madhesh"/>
        <s v="Lumbini"/>
        <s v="Sudurpashchim"/>
        <s v="Koshi"/>
        <s v="Karnali"/>
        <s v="Gandaki"/>
      </sharedItems>
    </cacheField>
    <cacheField name="Destination" numFmtId="0">
      <sharedItems count="6">
        <s v="Lumbini"/>
        <s v="Chitwan"/>
        <s v="Everest Region"/>
        <s v="Pokhara"/>
        <s v="Mustang"/>
        <s v="Kathmandu"/>
      </sharedItems>
    </cacheField>
    <cacheField name="Tourists" numFmtId="0">
      <sharedItems containsSemiMixedTypes="0" containsString="0" containsNumber="1" containsInteger="1" minValue="53" maxValue="1200"/>
    </cacheField>
    <cacheField name="Avg_Stay_Days" numFmtId="0">
      <sharedItems containsSemiMixedTypes="0" containsString="0" containsNumber="1" minValue="3" maxValue="14"/>
    </cacheField>
    <cacheField name="Revenue_USD" numFmtId="0">
      <sharedItems containsSemiMixedTypes="0" containsString="0" containsNumber="1" containsInteger="1" minValue="5665" maxValue="285425"/>
    </cacheField>
  </cacheFields>
  <extLst>
    <ext xmlns:x14="http://schemas.microsoft.com/office/spreadsheetml/2009/9/main" uri="{725AE2AE-9491-48be-B2B4-4EB974FC3084}">
      <x14:pivotCacheDefinition pivotCacheId="17458670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80"/>
    <s v="2024-07-07"/>
    <n v="2024"/>
    <s v="July"/>
    <x v="0"/>
    <x v="0"/>
    <x v="0"/>
    <n v="1165"/>
    <n v="12.9"/>
    <n v="285425"/>
  </r>
  <r>
    <n v="320"/>
    <s v="2024-06-24"/>
    <n v="2024"/>
    <s v="June"/>
    <x v="1"/>
    <x v="1"/>
    <x v="0"/>
    <n v="1168"/>
    <n v="6.9"/>
    <n v="284992"/>
  </r>
  <r>
    <n v="19"/>
    <s v="2024-02-28"/>
    <n v="2024"/>
    <s v="February"/>
    <x v="0"/>
    <x v="0"/>
    <x v="1"/>
    <n v="1149"/>
    <n v="11.3"/>
    <n v="280356"/>
  </r>
  <r>
    <n v="291"/>
    <s v="2024-06-04"/>
    <n v="2024"/>
    <s v="June"/>
    <x v="2"/>
    <x v="1"/>
    <x v="2"/>
    <n v="1142"/>
    <n v="4"/>
    <n v="278648"/>
  </r>
  <r>
    <n v="253"/>
    <s v="2024-03-17"/>
    <n v="2024"/>
    <s v="March"/>
    <x v="3"/>
    <x v="0"/>
    <x v="1"/>
    <n v="1173"/>
    <n v="13.3"/>
    <n v="275655"/>
  </r>
  <r>
    <n v="444"/>
    <s v="2024-09-10"/>
    <n v="2024"/>
    <s v="September"/>
    <x v="4"/>
    <x v="2"/>
    <x v="2"/>
    <n v="1175"/>
    <n v="8.6"/>
    <n v="265550"/>
  </r>
  <r>
    <n v="306"/>
    <s v="2024-10-18"/>
    <n v="2024"/>
    <s v="October"/>
    <x v="1"/>
    <x v="0"/>
    <x v="0"/>
    <n v="1200"/>
    <n v="5.0999999999999996"/>
    <n v="265200"/>
  </r>
  <r>
    <n v="414"/>
    <s v="2024-04-12"/>
    <n v="2024"/>
    <s v="April"/>
    <x v="5"/>
    <x v="3"/>
    <x v="0"/>
    <n v="1167"/>
    <n v="5"/>
    <n v="256740"/>
  </r>
  <r>
    <n v="487"/>
    <s v="2024-05-19"/>
    <n v="2024"/>
    <s v="May"/>
    <x v="4"/>
    <x v="4"/>
    <x v="0"/>
    <n v="1122"/>
    <n v="3.7"/>
    <n v="254694"/>
  </r>
  <r>
    <n v="437"/>
    <s v="2024-03-13"/>
    <n v="2024"/>
    <s v="March"/>
    <x v="2"/>
    <x v="1"/>
    <x v="0"/>
    <n v="1096"/>
    <n v="7.3"/>
    <n v="254272"/>
  </r>
  <r>
    <n v="344"/>
    <s v="2024-10-08"/>
    <n v="2024"/>
    <s v="October"/>
    <x v="6"/>
    <x v="5"/>
    <x v="3"/>
    <n v="1014"/>
    <n v="11.3"/>
    <n v="253500"/>
  </r>
  <r>
    <n v="315"/>
    <s v="2024-10-25"/>
    <n v="2024"/>
    <s v="October"/>
    <x v="3"/>
    <x v="6"/>
    <x v="4"/>
    <n v="1033"/>
    <n v="4.9000000000000004"/>
    <n v="248953"/>
  </r>
  <r>
    <n v="22"/>
    <s v="2024-03-23"/>
    <n v="2024"/>
    <s v="March"/>
    <x v="5"/>
    <x v="1"/>
    <x v="1"/>
    <n v="1154"/>
    <n v="13.5"/>
    <n v="248110"/>
  </r>
  <r>
    <n v="77"/>
    <s v="2024-12-22"/>
    <n v="2024"/>
    <s v="December"/>
    <x v="6"/>
    <x v="5"/>
    <x v="5"/>
    <n v="1110"/>
    <n v="8.1"/>
    <n v="246420"/>
  </r>
  <r>
    <n v="287"/>
    <s v="2024-12-14"/>
    <n v="2024"/>
    <s v="December"/>
    <x v="2"/>
    <x v="5"/>
    <x v="3"/>
    <n v="1109"/>
    <n v="6.8"/>
    <n v="245089"/>
  </r>
  <r>
    <n v="312"/>
    <s v="2024-09-16"/>
    <n v="2024"/>
    <s v="September"/>
    <x v="1"/>
    <x v="4"/>
    <x v="5"/>
    <n v="1093"/>
    <n v="8.9"/>
    <n v="244832"/>
  </r>
  <r>
    <n v="372"/>
    <s v="2024-03-01"/>
    <n v="2024"/>
    <s v="March"/>
    <x v="6"/>
    <x v="4"/>
    <x v="3"/>
    <n v="1030"/>
    <n v="13.1"/>
    <n v="241020"/>
  </r>
  <r>
    <n v="41"/>
    <s v="2024-09-14"/>
    <n v="2024"/>
    <s v="September"/>
    <x v="4"/>
    <x v="5"/>
    <x v="3"/>
    <n v="1137"/>
    <n v="4.7"/>
    <n v="238770"/>
  </r>
  <r>
    <n v="79"/>
    <s v="2024-11-09"/>
    <n v="2024"/>
    <s v="November"/>
    <x v="7"/>
    <x v="6"/>
    <x v="4"/>
    <n v="1083"/>
    <n v="7.7"/>
    <n v="238260"/>
  </r>
  <r>
    <n v="258"/>
    <s v="2024-02-04"/>
    <n v="2024"/>
    <s v="February"/>
    <x v="5"/>
    <x v="4"/>
    <x v="0"/>
    <n v="1127"/>
    <n v="9"/>
    <n v="235543"/>
  </r>
  <r>
    <n v="239"/>
    <s v="2024-02-21"/>
    <n v="2024"/>
    <s v="February"/>
    <x v="5"/>
    <x v="3"/>
    <x v="1"/>
    <n v="1089"/>
    <n v="11.5"/>
    <n v="233046"/>
  </r>
  <r>
    <n v="102"/>
    <s v="2024-09-04"/>
    <n v="2024"/>
    <s v="September"/>
    <x v="1"/>
    <x v="2"/>
    <x v="3"/>
    <n v="1002"/>
    <n v="7.8"/>
    <n v="231462"/>
  </r>
  <r>
    <n v="343"/>
    <s v="2024-03-19"/>
    <n v="2024"/>
    <s v="March"/>
    <x v="0"/>
    <x v="4"/>
    <x v="4"/>
    <n v="981"/>
    <n v="11.2"/>
    <n v="230535"/>
  </r>
  <r>
    <n v="423"/>
    <s v="2024-07-19"/>
    <n v="2024"/>
    <s v="July"/>
    <x v="2"/>
    <x v="2"/>
    <x v="5"/>
    <n v="998"/>
    <n v="11.5"/>
    <n v="229540"/>
  </r>
  <r>
    <n v="380"/>
    <s v="2024-10-06"/>
    <n v="2024"/>
    <s v="October"/>
    <x v="5"/>
    <x v="1"/>
    <x v="5"/>
    <n v="1050"/>
    <n v="5"/>
    <n v="228900"/>
  </r>
  <r>
    <n v="223"/>
    <s v="2024-09-09"/>
    <n v="2024"/>
    <s v="September"/>
    <x v="7"/>
    <x v="3"/>
    <x v="2"/>
    <n v="1000"/>
    <n v="11.3"/>
    <n v="228000"/>
  </r>
  <r>
    <n v="4"/>
    <s v="2024-12-25"/>
    <n v="2024"/>
    <s v="December"/>
    <x v="1"/>
    <x v="5"/>
    <x v="5"/>
    <n v="1166"/>
    <n v="7.6"/>
    <n v="226204"/>
  </r>
  <r>
    <n v="325"/>
    <s v="2024-05-11"/>
    <n v="2024"/>
    <s v="May"/>
    <x v="1"/>
    <x v="1"/>
    <x v="4"/>
    <n v="1031"/>
    <n v="5.4"/>
    <n v="223727"/>
  </r>
  <r>
    <n v="18"/>
    <s v="2024-11-01"/>
    <n v="2024"/>
    <s v="November"/>
    <x v="5"/>
    <x v="3"/>
    <x v="4"/>
    <n v="1008"/>
    <n v="8.8000000000000007"/>
    <n v="222768"/>
  </r>
  <r>
    <n v="284"/>
    <s v="2024-07-07"/>
    <n v="2024"/>
    <s v="July"/>
    <x v="2"/>
    <x v="1"/>
    <x v="5"/>
    <n v="1007"/>
    <n v="11.8"/>
    <n v="222547"/>
  </r>
  <r>
    <n v="483"/>
    <s v="2024-02-14"/>
    <n v="2024"/>
    <s v="February"/>
    <x v="5"/>
    <x v="2"/>
    <x v="4"/>
    <n v="939"/>
    <n v="4.3"/>
    <n v="221604"/>
  </r>
  <r>
    <n v="430"/>
    <s v="2024-12-02"/>
    <n v="2024"/>
    <s v="December"/>
    <x v="6"/>
    <x v="4"/>
    <x v="2"/>
    <n v="935"/>
    <n v="7.4"/>
    <n v="221595"/>
  </r>
  <r>
    <n v="121"/>
    <s v="2024-10-28"/>
    <n v="2024"/>
    <s v="October"/>
    <x v="5"/>
    <x v="1"/>
    <x v="4"/>
    <n v="928"/>
    <n v="6.4"/>
    <n v="220864"/>
  </r>
  <r>
    <n v="348"/>
    <s v="2024-04-15"/>
    <n v="2024"/>
    <s v="April"/>
    <x v="7"/>
    <x v="5"/>
    <x v="5"/>
    <n v="1051"/>
    <n v="4"/>
    <n v="220710"/>
  </r>
  <r>
    <n v="2"/>
    <s v="2024-02-22"/>
    <n v="2024"/>
    <s v="February"/>
    <x v="5"/>
    <x v="0"/>
    <x v="5"/>
    <n v="1166"/>
    <n v="4"/>
    <n v="219208"/>
  </r>
  <r>
    <n v="441"/>
    <s v="2024-11-30"/>
    <n v="2024"/>
    <s v="November"/>
    <x v="3"/>
    <x v="3"/>
    <x v="0"/>
    <n v="1063"/>
    <n v="7.5"/>
    <n v="217915"/>
  </r>
  <r>
    <n v="34"/>
    <s v="2024-04-07"/>
    <n v="2024"/>
    <s v="April"/>
    <x v="2"/>
    <x v="2"/>
    <x v="0"/>
    <n v="1148"/>
    <n v="7.9"/>
    <n v="215824"/>
  </r>
  <r>
    <n v="226"/>
    <s v="2024-06-29"/>
    <n v="2024"/>
    <s v="June"/>
    <x v="7"/>
    <x v="0"/>
    <x v="5"/>
    <n v="1089"/>
    <n v="3.8"/>
    <n v="215622"/>
  </r>
  <r>
    <n v="133"/>
    <s v="2024-11-21"/>
    <n v="2024"/>
    <s v="November"/>
    <x v="0"/>
    <x v="4"/>
    <x v="1"/>
    <n v="1057"/>
    <n v="13.7"/>
    <n v="211400"/>
  </r>
  <r>
    <n v="403"/>
    <s v="2024-04-05"/>
    <n v="2024"/>
    <s v="April"/>
    <x v="3"/>
    <x v="0"/>
    <x v="5"/>
    <n v="932"/>
    <n v="7.9"/>
    <n v="206904"/>
  </r>
  <r>
    <n v="232"/>
    <s v="2024-07-17"/>
    <n v="2024"/>
    <s v="July"/>
    <x v="5"/>
    <x v="5"/>
    <x v="4"/>
    <n v="887"/>
    <n v="11.5"/>
    <n v="206671"/>
  </r>
  <r>
    <n v="148"/>
    <s v="2024-08-30"/>
    <n v="2024"/>
    <s v="August"/>
    <x v="2"/>
    <x v="4"/>
    <x v="5"/>
    <n v="830"/>
    <n v="7.2"/>
    <n v="206670"/>
  </r>
  <r>
    <n v="129"/>
    <s v="2024-05-19"/>
    <n v="2024"/>
    <s v="May"/>
    <x v="4"/>
    <x v="1"/>
    <x v="5"/>
    <n v="1074"/>
    <n v="8.9"/>
    <n v="206208"/>
  </r>
  <r>
    <n v="31"/>
    <s v="2024-03-08"/>
    <n v="2024"/>
    <s v="March"/>
    <x v="3"/>
    <x v="6"/>
    <x v="5"/>
    <n v="1018"/>
    <n v="5.7"/>
    <n v="204618"/>
  </r>
  <r>
    <n v="188"/>
    <s v="2024-08-31"/>
    <n v="2024"/>
    <s v="August"/>
    <x v="4"/>
    <x v="4"/>
    <x v="2"/>
    <n v="968"/>
    <n v="11.6"/>
    <n v="204248"/>
  </r>
  <r>
    <n v="433"/>
    <s v="2024-04-10"/>
    <n v="2024"/>
    <s v="April"/>
    <x v="0"/>
    <x v="1"/>
    <x v="0"/>
    <n v="987"/>
    <n v="4.3"/>
    <n v="202335"/>
  </r>
  <r>
    <n v="479"/>
    <s v="2024-11-17"/>
    <n v="2024"/>
    <s v="November"/>
    <x v="3"/>
    <x v="0"/>
    <x v="4"/>
    <n v="1076"/>
    <n v="11.4"/>
    <n v="202288"/>
  </r>
  <r>
    <n v="262"/>
    <s v="2024-03-30"/>
    <n v="2024"/>
    <s v="March"/>
    <x v="2"/>
    <x v="5"/>
    <x v="3"/>
    <n v="1001"/>
    <n v="13.8"/>
    <n v="202202"/>
  </r>
  <r>
    <n v="426"/>
    <s v="2024-06-27"/>
    <n v="2024"/>
    <s v="June"/>
    <x v="0"/>
    <x v="0"/>
    <x v="1"/>
    <n v="1025"/>
    <n v="4.0999999999999996"/>
    <n v="199875"/>
  </r>
  <r>
    <n v="26"/>
    <s v="2024-11-06"/>
    <n v="2024"/>
    <s v="November"/>
    <x v="6"/>
    <x v="3"/>
    <x v="1"/>
    <n v="916"/>
    <n v="13.6"/>
    <n v="199688"/>
  </r>
  <r>
    <n v="168"/>
    <s v="2024-03-08"/>
    <n v="2024"/>
    <s v="March"/>
    <x v="1"/>
    <x v="5"/>
    <x v="3"/>
    <n v="1154"/>
    <n v="12.6"/>
    <n v="199642"/>
  </r>
  <r>
    <n v="364"/>
    <s v="2024-08-06"/>
    <n v="2024"/>
    <s v="August"/>
    <x v="3"/>
    <x v="5"/>
    <x v="2"/>
    <n v="1188"/>
    <n v="8.5"/>
    <n v="199584"/>
  </r>
  <r>
    <n v="367"/>
    <s v="2024-01-30"/>
    <n v="2024"/>
    <s v="January"/>
    <x v="2"/>
    <x v="4"/>
    <x v="3"/>
    <n v="895"/>
    <n v="13.6"/>
    <n v="198690"/>
  </r>
  <r>
    <n v="99"/>
    <s v="2024-08-07"/>
    <n v="2024"/>
    <s v="August"/>
    <x v="0"/>
    <x v="0"/>
    <x v="0"/>
    <n v="808"/>
    <n v="3.8"/>
    <n v="197960"/>
  </r>
  <r>
    <n v="139"/>
    <s v="2024-05-27"/>
    <n v="2024"/>
    <s v="May"/>
    <x v="4"/>
    <x v="0"/>
    <x v="4"/>
    <n v="947"/>
    <n v="12.7"/>
    <n v="193188"/>
  </r>
  <r>
    <n v="163"/>
    <s v="2024-01-12"/>
    <n v="2024"/>
    <s v="January"/>
    <x v="5"/>
    <x v="1"/>
    <x v="4"/>
    <n v="860"/>
    <n v="6"/>
    <n v="192640"/>
  </r>
  <r>
    <n v="249"/>
    <s v="2024-07-21"/>
    <n v="2024"/>
    <s v="July"/>
    <x v="4"/>
    <x v="2"/>
    <x v="3"/>
    <n v="1078"/>
    <n v="7.1"/>
    <n v="191884"/>
  </r>
  <r>
    <n v="135"/>
    <s v="2024-05-27"/>
    <n v="2024"/>
    <s v="May"/>
    <x v="5"/>
    <x v="4"/>
    <x v="5"/>
    <n v="870"/>
    <n v="11.9"/>
    <n v="191400"/>
  </r>
  <r>
    <n v="360"/>
    <s v="2024-01-23"/>
    <n v="2024"/>
    <s v="January"/>
    <x v="6"/>
    <x v="5"/>
    <x v="5"/>
    <n v="873"/>
    <n v="7.8"/>
    <n v="190314"/>
  </r>
  <r>
    <n v="146"/>
    <s v="2024-08-16"/>
    <n v="2024"/>
    <s v="August"/>
    <x v="3"/>
    <x v="4"/>
    <x v="1"/>
    <n v="1153"/>
    <n v="8.3000000000000007"/>
    <n v="190245"/>
  </r>
  <r>
    <n v="137"/>
    <s v="2024-08-24"/>
    <n v="2024"/>
    <s v="August"/>
    <x v="0"/>
    <x v="1"/>
    <x v="0"/>
    <n v="896"/>
    <n v="3.6"/>
    <n v="189952"/>
  </r>
  <r>
    <n v="209"/>
    <s v="2024-08-14"/>
    <n v="2024"/>
    <s v="August"/>
    <x v="4"/>
    <x v="2"/>
    <x v="0"/>
    <n v="898"/>
    <n v="6"/>
    <n v="189478"/>
  </r>
  <r>
    <n v="476"/>
    <s v="2024-03-08"/>
    <n v="2024"/>
    <s v="March"/>
    <x v="3"/>
    <x v="2"/>
    <x v="2"/>
    <n v="842"/>
    <n v="12.5"/>
    <n v="189450"/>
  </r>
  <r>
    <n v="62"/>
    <s v="2024-09-17"/>
    <n v="2024"/>
    <s v="September"/>
    <x v="0"/>
    <x v="0"/>
    <x v="5"/>
    <n v="868"/>
    <n v="10.5"/>
    <n v="188356"/>
  </r>
  <r>
    <n v="237"/>
    <s v="2024-08-04"/>
    <n v="2024"/>
    <s v="August"/>
    <x v="1"/>
    <x v="6"/>
    <x v="3"/>
    <n v="1091"/>
    <n v="7"/>
    <n v="187652"/>
  </r>
  <r>
    <n v="399"/>
    <s v="2024-10-10"/>
    <n v="2024"/>
    <s v="October"/>
    <x v="3"/>
    <x v="0"/>
    <x v="2"/>
    <n v="818"/>
    <n v="7.8"/>
    <n v="187322"/>
  </r>
  <r>
    <n v="352"/>
    <s v="2024-02-05"/>
    <n v="2024"/>
    <s v="February"/>
    <x v="2"/>
    <x v="5"/>
    <x v="3"/>
    <n v="1016"/>
    <n v="3.3"/>
    <n v="186944"/>
  </r>
  <r>
    <n v="242"/>
    <s v="2024-05-01"/>
    <n v="2024"/>
    <s v="May"/>
    <x v="6"/>
    <x v="1"/>
    <x v="3"/>
    <n v="959"/>
    <n v="9.6999999999999993"/>
    <n v="186046"/>
  </r>
  <r>
    <n v="337"/>
    <s v="2024-11-23"/>
    <n v="2024"/>
    <s v="November"/>
    <x v="0"/>
    <x v="0"/>
    <x v="0"/>
    <n v="880"/>
    <n v="12.1"/>
    <n v="185680"/>
  </r>
  <r>
    <n v="466"/>
    <s v="2024-03-02"/>
    <n v="2024"/>
    <s v="March"/>
    <x v="4"/>
    <x v="6"/>
    <x v="0"/>
    <n v="914"/>
    <n v="10.6"/>
    <n v="184628"/>
  </r>
  <r>
    <n v="395"/>
    <s v="2024-10-17"/>
    <n v="2024"/>
    <s v="October"/>
    <x v="0"/>
    <x v="4"/>
    <x v="4"/>
    <n v="846"/>
    <n v="10.4"/>
    <n v="184428"/>
  </r>
  <r>
    <n v="341"/>
    <s v="2024-03-01"/>
    <n v="2024"/>
    <s v="March"/>
    <x v="1"/>
    <x v="3"/>
    <x v="5"/>
    <n v="1003"/>
    <n v="6.4"/>
    <n v="183549"/>
  </r>
  <r>
    <n v="420"/>
    <s v="2024-12-02"/>
    <n v="2024"/>
    <s v="December"/>
    <x v="5"/>
    <x v="1"/>
    <x v="4"/>
    <n v="777"/>
    <n v="4.8"/>
    <n v="183372"/>
  </r>
  <r>
    <n v="281"/>
    <s v="2024-10-08"/>
    <n v="2024"/>
    <s v="October"/>
    <x v="2"/>
    <x v="3"/>
    <x v="4"/>
    <n v="1160"/>
    <n v="6.2"/>
    <n v="180960"/>
  </r>
  <r>
    <n v="67"/>
    <s v="2024-02-05"/>
    <n v="2024"/>
    <s v="February"/>
    <x v="4"/>
    <x v="3"/>
    <x v="1"/>
    <n v="726"/>
    <n v="9.9"/>
    <n v="180774"/>
  </r>
  <r>
    <n v="53"/>
    <s v="2024-03-23"/>
    <n v="2024"/>
    <s v="March"/>
    <x v="5"/>
    <x v="0"/>
    <x v="5"/>
    <n v="954"/>
    <n v="9.1"/>
    <n v="180306"/>
  </r>
  <r>
    <n v="404"/>
    <s v="2024-02-15"/>
    <n v="2024"/>
    <s v="February"/>
    <x v="0"/>
    <x v="5"/>
    <x v="0"/>
    <n v="774"/>
    <n v="9.1"/>
    <n v="179568"/>
  </r>
  <r>
    <n v="379"/>
    <s v="2024-11-24"/>
    <n v="2024"/>
    <s v="November"/>
    <x v="2"/>
    <x v="6"/>
    <x v="4"/>
    <n v="1054"/>
    <n v="8.1"/>
    <n v="179180"/>
  </r>
  <r>
    <n v="219"/>
    <s v="2024-07-24"/>
    <n v="2024"/>
    <s v="July"/>
    <x v="0"/>
    <x v="6"/>
    <x v="1"/>
    <n v="1123"/>
    <n v="3.9"/>
    <n v="178557"/>
  </r>
  <r>
    <n v="450"/>
    <s v="2024-01-31"/>
    <n v="2024"/>
    <s v="January"/>
    <x v="2"/>
    <x v="2"/>
    <x v="4"/>
    <n v="768"/>
    <n v="8.9"/>
    <n v="178176"/>
  </r>
  <r>
    <n v="298"/>
    <s v="2024-07-08"/>
    <n v="2024"/>
    <s v="July"/>
    <x v="6"/>
    <x v="4"/>
    <x v="5"/>
    <n v="1104"/>
    <n v="9.1999999999999993"/>
    <n v="177744"/>
  </r>
  <r>
    <n v="488"/>
    <s v="2024-09-18"/>
    <n v="2024"/>
    <s v="September"/>
    <x v="2"/>
    <x v="2"/>
    <x v="3"/>
    <n v="787"/>
    <n v="3.6"/>
    <n v="177075"/>
  </r>
  <r>
    <n v="149"/>
    <s v="2024-03-05"/>
    <n v="2024"/>
    <s v="March"/>
    <x v="4"/>
    <x v="5"/>
    <x v="0"/>
    <n v="1078"/>
    <n v="13.6"/>
    <n v="176792"/>
  </r>
  <r>
    <n v="244"/>
    <s v="2024-08-13"/>
    <n v="2024"/>
    <s v="August"/>
    <x v="3"/>
    <x v="6"/>
    <x v="3"/>
    <n v="995"/>
    <n v="11.5"/>
    <n v="176115"/>
  </r>
  <r>
    <n v="7"/>
    <s v="2024-01-23"/>
    <n v="2024"/>
    <s v="January"/>
    <x v="4"/>
    <x v="1"/>
    <x v="1"/>
    <n v="990"/>
    <n v="8.9"/>
    <n v="174240"/>
  </r>
  <r>
    <n v="480"/>
    <s v="2024-10-01"/>
    <n v="2024"/>
    <s v="October"/>
    <x v="4"/>
    <x v="2"/>
    <x v="5"/>
    <n v="1151"/>
    <n v="9.8000000000000007"/>
    <n v="173801"/>
  </r>
  <r>
    <n v="250"/>
    <s v="2024-01-15"/>
    <n v="2024"/>
    <s v="January"/>
    <x v="0"/>
    <x v="5"/>
    <x v="3"/>
    <n v="702"/>
    <n v="13.2"/>
    <n v="172692"/>
  </r>
  <r>
    <n v="27"/>
    <s v="2024-07-23"/>
    <n v="2024"/>
    <s v="July"/>
    <x v="7"/>
    <x v="0"/>
    <x v="3"/>
    <n v="814"/>
    <n v="7.8"/>
    <n v="172568"/>
  </r>
  <r>
    <n v="32"/>
    <s v="2024-02-19"/>
    <n v="2024"/>
    <s v="February"/>
    <x v="7"/>
    <x v="5"/>
    <x v="4"/>
    <n v="932"/>
    <n v="6.9"/>
    <n v="172420"/>
  </r>
  <r>
    <n v="224"/>
    <s v="2024-11-25"/>
    <n v="2024"/>
    <s v="November"/>
    <x v="0"/>
    <x v="6"/>
    <x v="0"/>
    <n v="711"/>
    <n v="12.5"/>
    <n v="170640"/>
  </r>
  <r>
    <n v="217"/>
    <s v="2024-01-11"/>
    <n v="2024"/>
    <s v="January"/>
    <x v="7"/>
    <x v="5"/>
    <x v="4"/>
    <n v="715"/>
    <n v="4.9000000000000004"/>
    <n v="170170"/>
  </r>
  <r>
    <n v="104"/>
    <s v="2024-12-08"/>
    <n v="2024"/>
    <s v="December"/>
    <x v="0"/>
    <x v="6"/>
    <x v="0"/>
    <n v="826"/>
    <n v="6.7"/>
    <n v="170156"/>
  </r>
  <r>
    <n v="457"/>
    <s v="2024-12-23"/>
    <n v="2024"/>
    <s v="December"/>
    <x v="3"/>
    <x v="6"/>
    <x v="0"/>
    <n v="783"/>
    <n v="12.4"/>
    <n v="169128"/>
  </r>
  <r>
    <n v="87"/>
    <s v="2024-05-19"/>
    <n v="2024"/>
    <s v="May"/>
    <x v="0"/>
    <x v="3"/>
    <x v="4"/>
    <n v="942"/>
    <n v="8.3000000000000007"/>
    <n v="168618"/>
  </r>
  <r>
    <n v="416"/>
    <s v="2024-12-10"/>
    <n v="2024"/>
    <s v="December"/>
    <x v="6"/>
    <x v="2"/>
    <x v="4"/>
    <n v="1072"/>
    <n v="4.5"/>
    <n v="168304"/>
  </r>
  <r>
    <n v="132"/>
    <s v="2024-08-28"/>
    <n v="2024"/>
    <s v="August"/>
    <x v="2"/>
    <x v="1"/>
    <x v="0"/>
    <n v="1112"/>
    <n v="10.199999999999999"/>
    <n v="167912"/>
  </r>
  <r>
    <n v="184"/>
    <s v="2024-04-29"/>
    <n v="2024"/>
    <s v="April"/>
    <x v="5"/>
    <x v="2"/>
    <x v="3"/>
    <n v="722"/>
    <n v="11.5"/>
    <n v="167504"/>
  </r>
  <r>
    <n v="59"/>
    <s v="2024-02-25"/>
    <n v="2024"/>
    <s v="February"/>
    <x v="6"/>
    <x v="6"/>
    <x v="0"/>
    <n v="833"/>
    <n v="12.6"/>
    <n v="166600"/>
  </r>
  <r>
    <n v="336"/>
    <s v="2024-01-08"/>
    <n v="2024"/>
    <s v="January"/>
    <x v="6"/>
    <x v="6"/>
    <x v="2"/>
    <n v="740"/>
    <n v="11.7"/>
    <n v="166500"/>
  </r>
  <r>
    <n v="110"/>
    <s v="2024-09-28"/>
    <n v="2024"/>
    <s v="September"/>
    <x v="0"/>
    <x v="2"/>
    <x v="4"/>
    <n v="754"/>
    <n v="7.7"/>
    <n v="165880"/>
  </r>
  <r>
    <n v="48"/>
    <s v="2024-12-26"/>
    <n v="2024"/>
    <s v="December"/>
    <x v="5"/>
    <x v="3"/>
    <x v="2"/>
    <n v="669"/>
    <n v="9.6999999999999993"/>
    <n v="165243"/>
  </r>
  <r>
    <n v="142"/>
    <s v="2024-03-19"/>
    <n v="2024"/>
    <s v="March"/>
    <x v="1"/>
    <x v="4"/>
    <x v="0"/>
    <n v="1070"/>
    <n v="13.3"/>
    <n v="164780"/>
  </r>
  <r>
    <n v="319"/>
    <s v="2024-12-05"/>
    <n v="2024"/>
    <s v="December"/>
    <x v="2"/>
    <x v="4"/>
    <x v="2"/>
    <n v="1029"/>
    <n v="8.8000000000000007"/>
    <n v="164640"/>
  </r>
  <r>
    <n v="485"/>
    <s v="2024-06-26"/>
    <n v="2024"/>
    <s v="June"/>
    <x v="2"/>
    <x v="2"/>
    <x v="3"/>
    <n v="1121"/>
    <n v="8.6999999999999993"/>
    <n v="163666"/>
  </r>
  <r>
    <n v="216"/>
    <s v="2024-10-20"/>
    <n v="2024"/>
    <s v="October"/>
    <x v="1"/>
    <x v="0"/>
    <x v="0"/>
    <n v="878"/>
    <n v="10.8"/>
    <n v="163308"/>
  </r>
  <r>
    <n v="418"/>
    <s v="2024-10-25"/>
    <n v="2024"/>
    <s v="October"/>
    <x v="5"/>
    <x v="5"/>
    <x v="1"/>
    <n v="870"/>
    <n v="8.9"/>
    <n v="162690"/>
  </r>
  <r>
    <n v="39"/>
    <s v="2024-10-11"/>
    <n v="2024"/>
    <s v="October"/>
    <x v="6"/>
    <x v="0"/>
    <x v="2"/>
    <n v="1046"/>
    <n v="4.7"/>
    <n v="162130"/>
  </r>
  <r>
    <n v="458"/>
    <s v="2024-04-18"/>
    <n v="2024"/>
    <s v="April"/>
    <x v="0"/>
    <x v="1"/>
    <x v="2"/>
    <n v="1063"/>
    <n v="6"/>
    <n v="161576"/>
  </r>
  <r>
    <n v="353"/>
    <s v="2024-11-24"/>
    <n v="2024"/>
    <s v="November"/>
    <x v="7"/>
    <x v="5"/>
    <x v="0"/>
    <n v="910"/>
    <n v="7.1"/>
    <n v="161070"/>
  </r>
  <r>
    <n v="200"/>
    <s v="2024-06-08"/>
    <n v="2024"/>
    <s v="June"/>
    <x v="6"/>
    <x v="6"/>
    <x v="4"/>
    <n v="770"/>
    <n v="4.0999999999999996"/>
    <n v="160930"/>
  </r>
  <r>
    <n v="169"/>
    <s v="2024-05-11"/>
    <n v="2024"/>
    <s v="May"/>
    <x v="0"/>
    <x v="5"/>
    <x v="5"/>
    <n v="1036"/>
    <n v="13.6"/>
    <n v="160580"/>
  </r>
  <r>
    <n v="194"/>
    <s v="2024-02-28"/>
    <n v="2024"/>
    <s v="February"/>
    <x v="3"/>
    <x v="4"/>
    <x v="3"/>
    <n v="1179"/>
    <n v="10.9"/>
    <n v="159165"/>
  </r>
  <r>
    <n v="225"/>
    <s v="2024-02-04"/>
    <n v="2024"/>
    <s v="February"/>
    <x v="1"/>
    <x v="1"/>
    <x v="5"/>
    <n v="1010"/>
    <n v="7.9"/>
    <n v="158570"/>
  </r>
  <r>
    <n v="327"/>
    <s v="2024-12-08"/>
    <n v="2024"/>
    <s v="December"/>
    <x v="5"/>
    <x v="0"/>
    <x v="0"/>
    <n v="1137"/>
    <n v="5.5"/>
    <n v="158043"/>
  </r>
  <r>
    <n v="471"/>
    <s v="2024-10-28"/>
    <n v="2024"/>
    <s v="October"/>
    <x v="0"/>
    <x v="5"/>
    <x v="3"/>
    <n v="836"/>
    <n v="6.9"/>
    <n v="158004"/>
  </r>
  <r>
    <n v="473"/>
    <s v="2024-01-14"/>
    <n v="2024"/>
    <s v="January"/>
    <x v="6"/>
    <x v="3"/>
    <x v="0"/>
    <n v="667"/>
    <n v="5.3"/>
    <n v="156745"/>
  </r>
  <r>
    <n v="409"/>
    <s v="2024-04-10"/>
    <n v="2024"/>
    <s v="April"/>
    <x v="5"/>
    <x v="4"/>
    <x v="1"/>
    <n v="987"/>
    <n v="4.2"/>
    <n v="154959"/>
  </r>
  <r>
    <n v="236"/>
    <s v="2024-11-25"/>
    <n v="2024"/>
    <s v="November"/>
    <x v="4"/>
    <x v="3"/>
    <x v="4"/>
    <n v="722"/>
    <n v="11.9"/>
    <n v="154508"/>
  </r>
  <r>
    <n v="91"/>
    <s v="2024-06-21"/>
    <n v="2024"/>
    <s v="June"/>
    <x v="1"/>
    <x v="5"/>
    <x v="5"/>
    <n v="826"/>
    <n v="6.1"/>
    <n v="154462"/>
  </r>
  <r>
    <n v="270"/>
    <s v="2024-12-04"/>
    <n v="2024"/>
    <s v="December"/>
    <x v="3"/>
    <x v="6"/>
    <x v="4"/>
    <n v="655"/>
    <n v="6.4"/>
    <n v="153270"/>
  </r>
  <r>
    <n v="193"/>
    <s v="2024-09-28"/>
    <n v="2024"/>
    <s v="September"/>
    <x v="3"/>
    <x v="0"/>
    <x v="4"/>
    <n v="653"/>
    <n v="8"/>
    <n v="152802"/>
  </r>
  <r>
    <n v="106"/>
    <s v="2024-05-21"/>
    <n v="2024"/>
    <s v="May"/>
    <x v="4"/>
    <x v="6"/>
    <x v="4"/>
    <n v="1188"/>
    <n v="3.1"/>
    <n v="152064"/>
  </r>
  <r>
    <n v="361"/>
    <s v="2024-03-12"/>
    <n v="2024"/>
    <s v="March"/>
    <x v="0"/>
    <x v="1"/>
    <x v="2"/>
    <n v="1081"/>
    <n v="13.9"/>
    <n v="150259"/>
  </r>
  <r>
    <n v="425"/>
    <s v="2024-03-13"/>
    <n v="2024"/>
    <s v="March"/>
    <x v="6"/>
    <x v="1"/>
    <x v="0"/>
    <n v="763"/>
    <n v="6.4"/>
    <n v="149548"/>
  </r>
  <r>
    <n v="107"/>
    <s v="2024-07-27"/>
    <n v="2024"/>
    <s v="July"/>
    <x v="7"/>
    <x v="3"/>
    <x v="4"/>
    <n v="1050"/>
    <n v="9.1"/>
    <n v="148050"/>
  </r>
  <r>
    <n v="413"/>
    <s v="2024-06-15"/>
    <n v="2024"/>
    <s v="June"/>
    <x v="0"/>
    <x v="0"/>
    <x v="2"/>
    <n v="820"/>
    <n v="6.1"/>
    <n v="147600"/>
  </r>
  <r>
    <n v="264"/>
    <s v="2024-01-22"/>
    <n v="2024"/>
    <s v="January"/>
    <x v="3"/>
    <x v="5"/>
    <x v="2"/>
    <n v="696"/>
    <n v="13.3"/>
    <n v="146856"/>
  </r>
  <r>
    <n v="307"/>
    <s v="2024-09-15"/>
    <n v="2024"/>
    <s v="September"/>
    <x v="4"/>
    <x v="6"/>
    <x v="5"/>
    <n v="972"/>
    <n v="11.4"/>
    <n v="146772"/>
  </r>
  <r>
    <n v="369"/>
    <s v="2024-02-17"/>
    <n v="2024"/>
    <s v="February"/>
    <x v="5"/>
    <x v="2"/>
    <x v="0"/>
    <n v="1146"/>
    <n v="11"/>
    <n v="146688"/>
  </r>
  <r>
    <n v="12"/>
    <s v="2024-07-13"/>
    <n v="2024"/>
    <s v="July"/>
    <x v="6"/>
    <x v="3"/>
    <x v="1"/>
    <n v="602"/>
    <n v="13.9"/>
    <n v="146286"/>
  </r>
  <r>
    <n v="210"/>
    <s v="2024-02-26"/>
    <n v="2024"/>
    <s v="February"/>
    <x v="7"/>
    <x v="1"/>
    <x v="4"/>
    <n v="630"/>
    <n v="10.5"/>
    <n v="145530"/>
  </r>
  <r>
    <n v="199"/>
    <s v="2024-07-29"/>
    <n v="2024"/>
    <s v="July"/>
    <x v="5"/>
    <x v="2"/>
    <x v="2"/>
    <n v="774"/>
    <n v="12.6"/>
    <n v="145512"/>
  </r>
  <r>
    <n v="434"/>
    <s v="2024-11-08"/>
    <n v="2024"/>
    <s v="November"/>
    <x v="0"/>
    <x v="5"/>
    <x v="0"/>
    <n v="853"/>
    <n v="9.5"/>
    <n v="144157"/>
  </r>
  <r>
    <n v="374"/>
    <s v="2024-07-02"/>
    <n v="2024"/>
    <s v="July"/>
    <x v="7"/>
    <x v="4"/>
    <x v="5"/>
    <n v="681"/>
    <n v="5.9"/>
    <n v="143691"/>
  </r>
  <r>
    <n v="14"/>
    <s v="2024-04-18"/>
    <n v="2024"/>
    <s v="April"/>
    <x v="3"/>
    <x v="3"/>
    <x v="0"/>
    <n v="694"/>
    <n v="5.3"/>
    <n v="143658"/>
  </r>
  <r>
    <n v="185"/>
    <s v="2024-03-07"/>
    <n v="2024"/>
    <s v="March"/>
    <x v="4"/>
    <x v="3"/>
    <x v="5"/>
    <n v="1156"/>
    <n v="5.8"/>
    <n v="143344"/>
  </r>
  <r>
    <n v="335"/>
    <s v="2024-02-27"/>
    <n v="2024"/>
    <s v="February"/>
    <x v="1"/>
    <x v="3"/>
    <x v="3"/>
    <n v="727"/>
    <n v="4.8"/>
    <n v="143219"/>
  </r>
  <r>
    <n v="421"/>
    <s v="2024-12-12"/>
    <n v="2024"/>
    <s v="December"/>
    <x v="3"/>
    <x v="0"/>
    <x v="5"/>
    <n v="868"/>
    <n v="13.6"/>
    <n v="142352"/>
  </r>
  <r>
    <n v="495"/>
    <s v="2024-06-08"/>
    <n v="2024"/>
    <s v="June"/>
    <x v="5"/>
    <x v="2"/>
    <x v="3"/>
    <n v="720"/>
    <n v="4"/>
    <n v="141120"/>
  </r>
  <r>
    <n v="365"/>
    <s v="2024-06-12"/>
    <n v="2024"/>
    <s v="June"/>
    <x v="3"/>
    <x v="6"/>
    <x v="2"/>
    <n v="902"/>
    <n v="7.5"/>
    <n v="140712"/>
  </r>
  <r>
    <n v="124"/>
    <s v="2024-10-31"/>
    <n v="2024"/>
    <s v="October"/>
    <x v="1"/>
    <x v="3"/>
    <x v="1"/>
    <n v="1012"/>
    <n v="6.2"/>
    <n v="140668"/>
  </r>
  <r>
    <n v="387"/>
    <s v="2024-05-09"/>
    <n v="2024"/>
    <s v="May"/>
    <x v="4"/>
    <x v="2"/>
    <x v="0"/>
    <n v="775"/>
    <n v="5.9"/>
    <n v="140275"/>
  </r>
  <r>
    <n v="165"/>
    <s v="2024-04-07"/>
    <n v="2024"/>
    <s v="April"/>
    <x v="2"/>
    <x v="3"/>
    <x v="5"/>
    <n v="563"/>
    <n v="10.5"/>
    <n v="139624"/>
  </r>
  <r>
    <n v="265"/>
    <s v="2024-08-30"/>
    <n v="2024"/>
    <s v="August"/>
    <x v="6"/>
    <x v="2"/>
    <x v="1"/>
    <n v="568"/>
    <n v="3.4"/>
    <n v="139160"/>
  </r>
  <r>
    <n v="80"/>
    <s v="2024-08-31"/>
    <n v="2024"/>
    <s v="August"/>
    <x v="1"/>
    <x v="5"/>
    <x v="2"/>
    <n v="971"/>
    <n v="5.9"/>
    <n v="138853"/>
  </r>
  <r>
    <n v="305"/>
    <s v="2024-05-15"/>
    <n v="2024"/>
    <s v="May"/>
    <x v="5"/>
    <x v="4"/>
    <x v="5"/>
    <n v="799"/>
    <n v="11.4"/>
    <n v="138227"/>
  </r>
  <r>
    <n v="21"/>
    <s v="2024-11-16"/>
    <n v="2024"/>
    <s v="November"/>
    <x v="6"/>
    <x v="6"/>
    <x v="1"/>
    <n v="661"/>
    <n v="12.3"/>
    <n v="138149"/>
  </r>
  <r>
    <n v="285"/>
    <s v="2024-02-03"/>
    <n v="2024"/>
    <s v="February"/>
    <x v="3"/>
    <x v="5"/>
    <x v="0"/>
    <n v="683"/>
    <n v="7.4"/>
    <n v="137966"/>
  </r>
  <r>
    <n v="462"/>
    <s v="2024-02-17"/>
    <n v="2024"/>
    <s v="February"/>
    <x v="2"/>
    <x v="0"/>
    <x v="0"/>
    <n v="788"/>
    <n v="5.8"/>
    <n v="137900"/>
  </r>
  <r>
    <n v="323"/>
    <s v="2024-10-13"/>
    <n v="2024"/>
    <s v="October"/>
    <x v="3"/>
    <x v="4"/>
    <x v="1"/>
    <n v="610"/>
    <n v="6.2"/>
    <n v="137860"/>
  </r>
  <r>
    <n v="177"/>
    <s v="2024-07-08"/>
    <n v="2024"/>
    <s v="July"/>
    <x v="3"/>
    <x v="3"/>
    <x v="5"/>
    <n v="1156"/>
    <n v="7.6"/>
    <n v="137564"/>
  </r>
  <r>
    <n v="71"/>
    <s v="2024-08-08"/>
    <n v="2024"/>
    <s v="August"/>
    <x v="6"/>
    <x v="1"/>
    <x v="0"/>
    <n v="709"/>
    <n v="8.1"/>
    <n v="136837"/>
  </r>
  <r>
    <n v="378"/>
    <s v="2024-10-18"/>
    <n v="2024"/>
    <s v="October"/>
    <x v="0"/>
    <x v="2"/>
    <x v="0"/>
    <n v="553"/>
    <n v="8.5"/>
    <n v="136591"/>
  </r>
  <r>
    <n v="125"/>
    <s v="2024-12-25"/>
    <n v="2024"/>
    <s v="December"/>
    <x v="1"/>
    <x v="5"/>
    <x v="4"/>
    <n v="979"/>
    <n v="3.8"/>
    <n v="136081"/>
  </r>
  <r>
    <n v="410"/>
    <s v="2024-11-13"/>
    <n v="2024"/>
    <s v="November"/>
    <x v="7"/>
    <x v="2"/>
    <x v="0"/>
    <n v="828"/>
    <n v="11.8"/>
    <n v="135792"/>
  </r>
  <r>
    <n v="10"/>
    <s v="2024-11-21"/>
    <n v="2024"/>
    <s v="November"/>
    <x v="6"/>
    <x v="3"/>
    <x v="1"/>
    <n v="797"/>
    <n v="4.8"/>
    <n v="135490"/>
  </r>
  <r>
    <n v="451"/>
    <s v="2024-05-29"/>
    <n v="2024"/>
    <s v="May"/>
    <x v="4"/>
    <x v="6"/>
    <x v="0"/>
    <n v="642"/>
    <n v="9.3000000000000007"/>
    <n v="135462"/>
  </r>
  <r>
    <n v="195"/>
    <s v="2024-07-30"/>
    <n v="2024"/>
    <s v="July"/>
    <x v="3"/>
    <x v="3"/>
    <x v="5"/>
    <n v="744"/>
    <n v="12.1"/>
    <n v="135408"/>
  </r>
  <r>
    <n v="313"/>
    <s v="2024-07-07"/>
    <n v="2024"/>
    <s v="July"/>
    <x v="1"/>
    <x v="5"/>
    <x v="4"/>
    <n v="728"/>
    <n v="10.4"/>
    <n v="135408"/>
  </r>
  <r>
    <n v="308"/>
    <s v="2024-07-20"/>
    <n v="2024"/>
    <s v="July"/>
    <x v="0"/>
    <x v="5"/>
    <x v="3"/>
    <n v="814"/>
    <n v="11.7"/>
    <n v="135124"/>
  </r>
  <r>
    <n v="394"/>
    <s v="2024-03-14"/>
    <n v="2024"/>
    <s v="March"/>
    <x v="2"/>
    <x v="1"/>
    <x v="3"/>
    <n v="865"/>
    <n v="13.2"/>
    <n v="134940"/>
  </r>
  <r>
    <n v="231"/>
    <s v="2024-08-12"/>
    <n v="2024"/>
    <s v="August"/>
    <x v="0"/>
    <x v="2"/>
    <x v="1"/>
    <n v="1123"/>
    <n v="8.8000000000000007"/>
    <n v="134760"/>
  </r>
  <r>
    <n v="329"/>
    <s v="2024-07-27"/>
    <n v="2024"/>
    <s v="July"/>
    <x v="1"/>
    <x v="2"/>
    <x v="1"/>
    <n v="1024"/>
    <n v="8.3000000000000007"/>
    <n v="134144"/>
  </r>
  <r>
    <n v="179"/>
    <s v="2024-04-21"/>
    <n v="2024"/>
    <s v="April"/>
    <x v="0"/>
    <x v="0"/>
    <x v="4"/>
    <n v="958"/>
    <n v="7.9"/>
    <n v="134120"/>
  </r>
  <r>
    <n v="196"/>
    <s v="2024-06-09"/>
    <n v="2024"/>
    <s v="June"/>
    <x v="0"/>
    <x v="6"/>
    <x v="4"/>
    <n v="924"/>
    <n v="6.4"/>
    <n v="133980"/>
  </r>
  <r>
    <n v="178"/>
    <s v="2024-09-07"/>
    <n v="2024"/>
    <s v="September"/>
    <x v="5"/>
    <x v="3"/>
    <x v="1"/>
    <n v="885"/>
    <n v="13.3"/>
    <n v="133635"/>
  </r>
  <r>
    <n v="412"/>
    <s v="2024-03-31"/>
    <n v="2024"/>
    <s v="March"/>
    <x v="7"/>
    <x v="1"/>
    <x v="3"/>
    <n v="865"/>
    <n v="13.7"/>
    <n v="133210"/>
  </r>
  <r>
    <n v="428"/>
    <s v="2024-05-04"/>
    <n v="2024"/>
    <s v="May"/>
    <x v="0"/>
    <x v="1"/>
    <x v="0"/>
    <n v="1106"/>
    <n v="4.9000000000000004"/>
    <n v="132720"/>
  </r>
  <r>
    <n v="84"/>
    <s v="2024-10-04"/>
    <n v="2024"/>
    <s v="October"/>
    <x v="3"/>
    <x v="4"/>
    <x v="2"/>
    <n v="1004"/>
    <n v="7.6"/>
    <n v="132528"/>
  </r>
  <r>
    <n v="213"/>
    <s v="2024-01-04"/>
    <n v="2024"/>
    <s v="January"/>
    <x v="2"/>
    <x v="4"/>
    <x v="2"/>
    <n v="1068"/>
    <n v="11.2"/>
    <n v="132432"/>
  </r>
  <r>
    <n v="455"/>
    <s v="2024-02-17"/>
    <n v="2024"/>
    <s v="February"/>
    <x v="0"/>
    <x v="4"/>
    <x v="0"/>
    <n v="875"/>
    <n v="8.6999999999999993"/>
    <n v="132125"/>
  </r>
  <r>
    <n v="15"/>
    <s v="2024-03-14"/>
    <n v="2024"/>
    <s v="March"/>
    <x v="1"/>
    <x v="3"/>
    <x v="2"/>
    <n v="592"/>
    <n v="4.5"/>
    <n v="132016"/>
  </r>
  <r>
    <n v="113"/>
    <s v="2024-09-04"/>
    <n v="2024"/>
    <s v="September"/>
    <x v="1"/>
    <x v="0"/>
    <x v="3"/>
    <n v="616"/>
    <n v="11"/>
    <n v="131824"/>
  </r>
  <r>
    <n v="271"/>
    <s v="2024-08-15"/>
    <n v="2024"/>
    <s v="August"/>
    <x v="3"/>
    <x v="2"/>
    <x v="4"/>
    <n v="769"/>
    <n v="7.9"/>
    <n v="130730"/>
  </r>
  <r>
    <n v="260"/>
    <s v="2024-06-25"/>
    <n v="2024"/>
    <s v="June"/>
    <x v="4"/>
    <x v="5"/>
    <x v="2"/>
    <n v="543"/>
    <n v="11.1"/>
    <n v="130320"/>
  </r>
  <r>
    <n v="243"/>
    <s v="2024-06-07"/>
    <n v="2024"/>
    <s v="June"/>
    <x v="0"/>
    <x v="3"/>
    <x v="2"/>
    <n v="1010"/>
    <n v="12.9"/>
    <n v="130290"/>
  </r>
  <r>
    <n v="492"/>
    <s v="2024-12-01"/>
    <n v="2024"/>
    <s v="December"/>
    <x v="3"/>
    <x v="3"/>
    <x v="1"/>
    <n v="908"/>
    <n v="5.5"/>
    <n v="129844"/>
  </r>
  <r>
    <n v="105"/>
    <s v="2024-04-18"/>
    <n v="2024"/>
    <s v="April"/>
    <x v="1"/>
    <x v="1"/>
    <x v="4"/>
    <n v="776"/>
    <n v="11.8"/>
    <n v="129592"/>
  </r>
  <r>
    <n v="499"/>
    <s v="2024-12-02"/>
    <n v="2024"/>
    <s v="December"/>
    <x v="4"/>
    <x v="6"/>
    <x v="2"/>
    <n v="820"/>
    <n v="12.3"/>
    <n v="129560"/>
  </r>
  <r>
    <n v="263"/>
    <s v="2024-02-02"/>
    <n v="2024"/>
    <s v="February"/>
    <x v="5"/>
    <x v="5"/>
    <x v="3"/>
    <n v="987"/>
    <n v="3.4"/>
    <n v="129297"/>
  </r>
  <r>
    <n v="247"/>
    <s v="2024-03-23"/>
    <n v="2024"/>
    <s v="March"/>
    <x v="2"/>
    <x v="5"/>
    <x v="0"/>
    <n v="608"/>
    <n v="7.9"/>
    <n v="128288"/>
  </r>
  <r>
    <n v="334"/>
    <s v="2024-10-05"/>
    <n v="2024"/>
    <s v="October"/>
    <x v="7"/>
    <x v="2"/>
    <x v="3"/>
    <n v="1123"/>
    <n v="8.4"/>
    <n v="128022"/>
  </r>
  <r>
    <n v="58"/>
    <s v="2024-06-19"/>
    <n v="2024"/>
    <s v="June"/>
    <x v="1"/>
    <x v="6"/>
    <x v="4"/>
    <n v="893"/>
    <n v="11.8"/>
    <n v="127699"/>
  </r>
  <r>
    <n v="453"/>
    <s v="2024-12-30"/>
    <n v="2024"/>
    <s v="December"/>
    <x v="7"/>
    <x v="6"/>
    <x v="2"/>
    <n v="709"/>
    <n v="12.1"/>
    <n v="127620"/>
  </r>
  <r>
    <n v="128"/>
    <s v="2024-10-18"/>
    <n v="2024"/>
    <s v="October"/>
    <x v="1"/>
    <x v="3"/>
    <x v="0"/>
    <n v="641"/>
    <n v="7.8"/>
    <n v="127559"/>
  </r>
  <r>
    <n v="469"/>
    <s v="2024-03-25"/>
    <n v="2024"/>
    <s v="March"/>
    <x v="2"/>
    <x v="4"/>
    <x v="2"/>
    <n v="951"/>
    <n v="6.9"/>
    <n v="127434"/>
  </r>
  <r>
    <n v="266"/>
    <s v="2024-01-25"/>
    <n v="2024"/>
    <s v="January"/>
    <x v="3"/>
    <x v="4"/>
    <x v="4"/>
    <n v="729"/>
    <n v="6"/>
    <n v="126846"/>
  </r>
  <r>
    <n v="429"/>
    <s v="2024-08-24"/>
    <n v="2024"/>
    <s v="August"/>
    <x v="2"/>
    <x v="6"/>
    <x v="4"/>
    <n v="524"/>
    <n v="11.8"/>
    <n v="126284"/>
  </r>
  <r>
    <n v="138"/>
    <s v="2024-11-16"/>
    <n v="2024"/>
    <s v="November"/>
    <x v="1"/>
    <x v="1"/>
    <x v="3"/>
    <n v="955"/>
    <n v="11.4"/>
    <n v="126060"/>
  </r>
  <r>
    <n v="44"/>
    <s v="2024-12-08"/>
    <n v="2024"/>
    <s v="December"/>
    <x v="2"/>
    <x v="3"/>
    <x v="4"/>
    <n v="693"/>
    <n v="5.6"/>
    <n v="125433"/>
  </r>
  <r>
    <n v="373"/>
    <s v="2024-10-09"/>
    <n v="2024"/>
    <s v="October"/>
    <x v="7"/>
    <x v="1"/>
    <x v="4"/>
    <n v="708"/>
    <n v="11.5"/>
    <n v="125316"/>
  </r>
  <r>
    <n v="109"/>
    <s v="2024-12-20"/>
    <n v="2024"/>
    <s v="December"/>
    <x v="0"/>
    <x v="4"/>
    <x v="2"/>
    <n v="548"/>
    <n v="6.4"/>
    <n v="124944"/>
  </r>
  <r>
    <n v="290"/>
    <s v="2024-02-10"/>
    <n v="2024"/>
    <s v="February"/>
    <x v="1"/>
    <x v="6"/>
    <x v="4"/>
    <n v="563"/>
    <n v="5.2"/>
    <n v="124423"/>
  </r>
  <r>
    <n v="158"/>
    <s v="2024-05-03"/>
    <n v="2024"/>
    <s v="May"/>
    <x v="6"/>
    <x v="4"/>
    <x v="4"/>
    <n v="1069"/>
    <n v="13"/>
    <n v="124004"/>
  </r>
  <r>
    <n v="86"/>
    <s v="2024-06-29"/>
    <n v="2024"/>
    <s v="June"/>
    <x v="6"/>
    <x v="4"/>
    <x v="3"/>
    <n v="661"/>
    <n v="11.3"/>
    <n v="123607"/>
  </r>
  <r>
    <n v="156"/>
    <s v="2024-01-29"/>
    <n v="2024"/>
    <s v="January"/>
    <x v="2"/>
    <x v="6"/>
    <x v="2"/>
    <n v="650"/>
    <n v="6.9"/>
    <n v="123500"/>
  </r>
  <r>
    <n v="350"/>
    <s v="2024-12-10"/>
    <n v="2024"/>
    <s v="December"/>
    <x v="1"/>
    <x v="5"/>
    <x v="5"/>
    <n v="681"/>
    <n v="11"/>
    <n v="123261"/>
  </r>
  <r>
    <n v="422"/>
    <s v="2024-02-20"/>
    <n v="2024"/>
    <s v="February"/>
    <x v="6"/>
    <x v="4"/>
    <x v="1"/>
    <n v="579"/>
    <n v="5.4"/>
    <n v="122748"/>
  </r>
  <r>
    <n v="406"/>
    <s v="2024-03-27"/>
    <n v="2024"/>
    <s v="March"/>
    <x v="1"/>
    <x v="2"/>
    <x v="0"/>
    <n v="829"/>
    <n v="4.9000000000000004"/>
    <n v="122692"/>
  </r>
  <r>
    <n v="375"/>
    <s v="2024-08-28"/>
    <n v="2024"/>
    <s v="August"/>
    <x v="0"/>
    <x v="4"/>
    <x v="5"/>
    <n v="705"/>
    <n v="13.1"/>
    <n v="122670"/>
  </r>
  <r>
    <n v="295"/>
    <s v="2024-05-28"/>
    <n v="2024"/>
    <s v="May"/>
    <x v="1"/>
    <x v="4"/>
    <x v="5"/>
    <n v="668"/>
    <n v="8.3000000000000007"/>
    <n v="122244"/>
  </r>
  <r>
    <n v="174"/>
    <s v="2024-06-16"/>
    <n v="2024"/>
    <s v="June"/>
    <x v="7"/>
    <x v="3"/>
    <x v="1"/>
    <n v="503"/>
    <n v="10.1"/>
    <n v="121726"/>
  </r>
  <r>
    <n v="259"/>
    <s v="2024-01-23"/>
    <n v="2024"/>
    <s v="January"/>
    <x v="5"/>
    <x v="2"/>
    <x v="5"/>
    <n v="842"/>
    <n v="13.8"/>
    <n v="121248"/>
  </r>
  <r>
    <n v="64"/>
    <s v="2024-08-10"/>
    <n v="2024"/>
    <s v="August"/>
    <x v="3"/>
    <x v="1"/>
    <x v="2"/>
    <n v="757"/>
    <n v="11"/>
    <n v="121120"/>
  </r>
  <r>
    <n v="310"/>
    <s v="2024-06-19"/>
    <n v="2024"/>
    <s v="June"/>
    <x v="2"/>
    <x v="2"/>
    <x v="2"/>
    <n v="1020"/>
    <n v="8.6999999999999993"/>
    <n v="120360"/>
  </r>
  <r>
    <n v="279"/>
    <s v="2024-05-26"/>
    <n v="2024"/>
    <s v="May"/>
    <x v="4"/>
    <x v="4"/>
    <x v="3"/>
    <n v="1055"/>
    <n v="5.2"/>
    <n v="120270"/>
  </r>
  <r>
    <n v="238"/>
    <s v="2024-06-23"/>
    <n v="2024"/>
    <s v="June"/>
    <x v="2"/>
    <x v="0"/>
    <x v="1"/>
    <n v="1045"/>
    <n v="5.0999999999999996"/>
    <n v="120175"/>
  </r>
  <r>
    <n v="317"/>
    <s v="2024-06-09"/>
    <n v="2024"/>
    <s v="June"/>
    <x v="3"/>
    <x v="1"/>
    <x v="2"/>
    <n v="907"/>
    <n v="4.7"/>
    <n v="119724"/>
  </r>
  <r>
    <n v="206"/>
    <s v="2024-08-20"/>
    <n v="2024"/>
    <s v="August"/>
    <x v="0"/>
    <x v="5"/>
    <x v="2"/>
    <n v="748"/>
    <n v="4.7"/>
    <n v="118932"/>
  </r>
  <r>
    <n v="398"/>
    <s v="2024-01-16"/>
    <n v="2024"/>
    <s v="January"/>
    <x v="7"/>
    <x v="6"/>
    <x v="1"/>
    <n v="609"/>
    <n v="11.6"/>
    <n v="118755"/>
  </r>
  <r>
    <n v="172"/>
    <s v="2024-08-20"/>
    <n v="2024"/>
    <s v="August"/>
    <x v="3"/>
    <x v="5"/>
    <x v="4"/>
    <n v="804"/>
    <n v="10.4"/>
    <n v="118188"/>
  </r>
  <r>
    <n v="377"/>
    <s v="2024-10-23"/>
    <n v="2024"/>
    <s v="October"/>
    <x v="0"/>
    <x v="6"/>
    <x v="0"/>
    <n v="905"/>
    <n v="6.2"/>
    <n v="117650"/>
  </r>
  <r>
    <n v="303"/>
    <s v="2024-10-25"/>
    <n v="2024"/>
    <s v="October"/>
    <x v="7"/>
    <x v="1"/>
    <x v="4"/>
    <n v="772"/>
    <n v="3.5"/>
    <n v="117344"/>
  </r>
  <r>
    <n v="328"/>
    <s v="2024-06-18"/>
    <n v="2024"/>
    <s v="June"/>
    <x v="5"/>
    <x v="1"/>
    <x v="3"/>
    <n v="1017"/>
    <n v="4.0999999999999996"/>
    <n v="116955"/>
  </r>
  <r>
    <n v="38"/>
    <s v="2024-07-18"/>
    <n v="2024"/>
    <s v="July"/>
    <x v="1"/>
    <x v="4"/>
    <x v="4"/>
    <n v="593"/>
    <n v="13.2"/>
    <n v="116228"/>
  </r>
  <r>
    <n v="419"/>
    <s v="2024-12-25"/>
    <n v="2024"/>
    <s v="December"/>
    <x v="4"/>
    <x v="5"/>
    <x v="3"/>
    <n v="1149"/>
    <n v="9.5"/>
    <n v="116049"/>
  </r>
  <r>
    <n v="202"/>
    <s v="2024-10-20"/>
    <n v="2024"/>
    <s v="October"/>
    <x v="5"/>
    <x v="1"/>
    <x v="4"/>
    <n v="513"/>
    <n v="11.9"/>
    <n v="114399"/>
  </r>
  <r>
    <n v="431"/>
    <s v="2024-08-07"/>
    <n v="2024"/>
    <s v="August"/>
    <x v="6"/>
    <x v="2"/>
    <x v="4"/>
    <n v="846"/>
    <n v="3"/>
    <n v="113364"/>
  </r>
  <r>
    <n v="339"/>
    <s v="2024-01-04"/>
    <n v="2024"/>
    <s v="January"/>
    <x v="1"/>
    <x v="2"/>
    <x v="1"/>
    <n v="584"/>
    <n v="7.2"/>
    <n v="113296"/>
  </r>
  <r>
    <n v="408"/>
    <s v="2024-02-09"/>
    <n v="2024"/>
    <s v="February"/>
    <x v="7"/>
    <x v="1"/>
    <x v="2"/>
    <n v="789"/>
    <n v="5.8"/>
    <n v="112827"/>
  </r>
  <r>
    <n v="268"/>
    <s v="2024-07-07"/>
    <n v="2024"/>
    <s v="July"/>
    <x v="3"/>
    <x v="0"/>
    <x v="0"/>
    <n v="1113"/>
    <n v="5.9"/>
    <n v="112413"/>
  </r>
  <r>
    <n v="153"/>
    <s v="2024-09-06"/>
    <n v="2024"/>
    <s v="September"/>
    <x v="6"/>
    <x v="3"/>
    <x v="4"/>
    <n v="1158"/>
    <n v="3.4"/>
    <n v="112326"/>
  </r>
  <r>
    <n v="68"/>
    <s v="2024-09-16"/>
    <n v="2024"/>
    <s v="September"/>
    <x v="3"/>
    <x v="3"/>
    <x v="1"/>
    <n v="683"/>
    <n v="10.3"/>
    <n v="111329"/>
  </r>
  <r>
    <n v="448"/>
    <s v="2024-05-01"/>
    <n v="2024"/>
    <s v="May"/>
    <x v="0"/>
    <x v="5"/>
    <x v="4"/>
    <n v="479"/>
    <n v="11.9"/>
    <n v="110170"/>
  </r>
  <r>
    <n v="5"/>
    <s v="2024-03-22"/>
    <n v="2024"/>
    <s v="March"/>
    <x v="6"/>
    <x v="5"/>
    <x v="1"/>
    <n v="915"/>
    <n v="6.7"/>
    <n v="108885"/>
  </r>
  <r>
    <n v="300"/>
    <s v="2024-11-11"/>
    <n v="2024"/>
    <s v="November"/>
    <x v="0"/>
    <x v="1"/>
    <x v="4"/>
    <n v="906"/>
    <n v="5.7"/>
    <n v="108720"/>
  </r>
  <r>
    <n v="65"/>
    <s v="2024-02-29"/>
    <n v="2024"/>
    <s v="February"/>
    <x v="1"/>
    <x v="0"/>
    <x v="4"/>
    <n v="838"/>
    <n v="12.9"/>
    <n v="107264"/>
  </r>
  <r>
    <n v="267"/>
    <s v="2024-08-13"/>
    <n v="2024"/>
    <s v="August"/>
    <x v="7"/>
    <x v="3"/>
    <x v="0"/>
    <n v="841"/>
    <n v="6.7"/>
    <n v="106807"/>
  </r>
  <r>
    <n v="449"/>
    <s v="2024-11-08"/>
    <n v="2024"/>
    <s v="November"/>
    <x v="6"/>
    <x v="5"/>
    <x v="3"/>
    <n v="926"/>
    <n v="4.8"/>
    <n v="106490"/>
  </r>
  <r>
    <n v="454"/>
    <s v="2024-11-19"/>
    <n v="2024"/>
    <s v="November"/>
    <x v="7"/>
    <x v="0"/>
    <x v="4"/>
    <n v="600"/>
    <n v="9.9"/>
    <n v="105600"/>
  </r>
  <r>
    <n v="475"/>
    <s v="2024-05-03"/>
    <n v="2024"/>
    <s v="May"/>
    <x v="5"/>
    <x v="2"/>
    <x v="1"/>
    <n v="1073"/>
    <n v="10"/>
    <n v="105154"/>
  </r>
  <r>
    <n v="445"/>
    <s v="2024-07-06"/>
    <n v="2024"/>
    <s v="July"/>
    <x v="7"/>
    <x v="1"/>
    <x v="3"/>
    <n v="1160"/>
    <n v="12"/>
    <n v="104400"/>
  </r>
  <r>
    <n v="491"/>
    <s v="2024-07-05"/>
    <n v="2024"/>
    <s v="July"/>
    <x v="5"/>
    <x v="1"/>
    <x v="4"/>
    <n v="834"/>
    <n v="13.1"/>
    <n v="104250"/>
  </r>
  <r>
    <n v="136"/>
    <s v="2024-06-10"/>
    <n v="2024"/>
    <s v="June"/>
    <x v="5"/>
    <x v="3"/>
    <x v="2"/>
    <n v="566"/>
    <n v="6.6"/>
    <n v="103578"/>
  </r>
  <r>
    <n v="439"/>
    <s v="2024-09-07"/>
    <n v="2024"/>
    <s v="September"/>
    <x v="7"/>
    <x v="1"/>
    <x v="5"/>
    <n v="641"/>
    <n v="4.5"/>
    <n v="102560"/>
  </r>
  <r>
    <n v="229"/>
    <s v="2024-08-31"/>
    <n v="2024"/>
    <s v="August"/>
    <x v="7"/>
    <x v="0"/>
    <x v="1"/>
    <n v="1076"/>
    <n v="4.7"/>
    <n v="102220"/>
  </r>
  <r>
    <n v="52"/>
    <s v="2024-08-04"/>
    <n v="2024"/>
    <s v="August"/>
    <x v="2"/>
    <x v="3"/>
    <x v="1"/>
    <n v="616"/>
    <n v="3.5"/>
    <n v="101640"/>
  </r>
  <r>
    <n v="402"/>
    <s v="2024-01-03"/>
    <n v="2024"/>
    <s v="January"/>
    <x v="4"/>
    <x v="6"/>
    <x v="5"/>
    <n v="681"/>
    <n v="7.9"/>
    <n v="101469"/>
  </r>
  <r>
    <n v="288"/>
    <s v="2024-08-09"/>
    <n v="2024"/>
    <s v="August"/>
    <x v="4"/>
    <x v="1"/>
    <x v="3"/>
    <n v="1079"/>
    <n v="13"/>
    <n v="101426"/>
  </r>
  <r>
    <n v="392"/>
    <s v="2024-12-20"/>
    <n v="2024"/>
    <s v="December"/>
    <x v="1"/>
    <x v="1"/>
    <x v="2"/>
    <n v="1023"/>
    <n v="6"/>
    <n v="101277"/>
  </r>
  <r>
    <n v="299"/>
    <s v="2024-05-16"/>
    <n v="2024"/>
    <s v="May"/>
    <x v="5"/>
    <x v="2"/>
    <x v="0"/>
    <n v="970"/>
    <n v="5.7"/>
    <n v="100880"/>
  </r>
  <r>
    <n v="101"/>
    <s v="2024-08-10"/>
    <n v="2024"/>
    <s v="August"/>
    <x v="1"/>
    <x v="1"/>
    <x v="2"/>
    <n v="410"/>
    <n v="11.1"/>
    <n v="100860"/>
  </r>
  <r>
    <n v="74"/>
    <s v="2024-05-05"/>
    <n v="2024"/>
    <s v="May"/>
    <x v="7"/>
    <x v="4"/>
    <x v="4"/>
    <n v="1023"/>
    <n v="9.6999999999999993"/>
    <n v="100254"/>
  </r>
  <r>
    <n v="16"/>
    <s v="2024-08-07"/>
    <n v="2024"/>
    <s v="August"/>
    <x v="7"/>
    <x v="0"/>
    <x v="5"/>
    <n v="867"/>
    <n v="7"/>
    <n v="99705"/>
  </r>
  <r>
    <n v="126"/>
    <s v="2024-10-28"/>
    <n v="2024"/>
    <s v="October"/>
    <x v="6"/>
    <x v="3"/>
    <x v="3"/>
    <n v="455"/>
    <n v="7.7"/>
    <n v="99645"/>
  </r>
  <r>
    <n v="108"/>
    <s v="2024-09-08"/>
    <n v="2024"/>
    <s v="September"/>
    <x v="1"/>
    <x v="6"/>
    <x v="0"/>
    <n v="967"/>
    <n v="11.7"/>
    <n v="99601"/>
  </r>
  <r>
    <n v="497"/>
    <s v="2024-09-09"/>
    <n v="2024"/>
    <s v="September"/>
    <x v="6"/>
    <x v="6"/>
    <x v="5"/>
    <n v="450"/>
    <n v="11.1"/>
    <n v="98550"/>
  </r>
  <r>
    <n v="154"/>
    <s v="2024-05-27"/>
    <n v="2024"/>
    <s v="May"/>
    <x v="4"/>
    <x v="5"/>
    <x v="4"/>
    <n v="515"/>
    <n v="11.2"/>
    <n v="98365"/>
  </r>
  <r>
    <n v="309"/>
    <s v="2024-04-11"/>
    <n v="2024"/>
    <s v="April"/>
    <x v="5"/>
    <x v="0"/>
    <x v="3"/>
    <n v="1092"/>
    <n v="7.4"/>
    <n v="98280"/>
  </r>
  <r>
    <n v="470"/>
    <s v="2024-12-17"/>
    <n v="2024"/>
    <s v="December"/>
    <x v="4"/>
    <x v="6"/>
    <x v="5"/>
    <n v="956"/>
    <n v="12.5"/>
    <n v="97512"/>
  </r>
  <r>
    <n v="230"/>
    <s v="2024-02-13"/>
    <n v="2024"/>
    <s v="February"/>
    <x v="6"/>
    <x v="3"/>
    <x v="0"/>
    <n v="1083"/>
    <n v="10.1"/>
    <n v="97470"/>
  </r>
  <r>
    <n v="322"/>
    <s v="2024-12-26"/>
    <n v="2024"/>
    <s v="December"/>
    <x v="0"/>
    <x v="4"/>
    <x v="1"/>
    <n v="474"/>
    <n v="10.6"/>
    <n v="97170"/>
  </r>
  <r>
    <n v="252"/>
    <s v="2024-08-28"/>
    <n v="2024"/>
    <s v="August"/>
    <x v="5"/>
    <x v="2"/>
    <x v="3"/>
    <n v="968"/>
    <n v="9.8000000000000007"/>
    <n v="96800"/>
  </r>
  <r>
    <n v="45"/>
    <s v="2024-06-02"/>
    <n v="2024"/>
    <s v="June"/>
    <x v="5"/>
    <x v="4"/>
    <x v="2"/>
    <n v="986"/>
    <n v="6.5"/>
    <n v="96628"/>
  </r>
  <r>
    <n v="385"/>
    <s v="2024-05-20"/>
    <n v="2024"/>
    <s v="May"/>
    <x v="3"/>
    <x v="5"/>
    <x v="3"/>
    <n v="1147"/>
    <n v="13.8"/>
    <n v="96348"/>
  </r>
  <r>
    <n v="119"/>
    <s v="2024-10-15"/>
    <n v="2024"/>
    <s v="October"/>
    <x v="4"/>
    <x v="1"/>
    <x v="0"/>
    <n v="672"/>
    <n v="3.9"/>
    <n v="96096"/>
  </r>
  <r>
    <n v="459"/>
    <s v="2024-03-07"/>
    <n v="2024"/>
    <s v="March"/>
    <x v="5"/>
    <x v="0"/>
    <x v="4"/>
    <n v="1043"/>
    <n v="11.7"/>
    <n v="95956"/>
  </r>
  <r>
    <n v="191"/>
    <s v="2024-09-08"/>
    <n v="2024"/>
    <s v="September"/>
    <x v="0"/>
    <x v="1"/>
    <x v="3"/>
    <n v="958"/>
    <n v="3.8"/>
    <n v="95800"/>
  </r>
  <r>
    <n v="496"/>
    <s v="2024-05-29"/>
    <n v="2024"/>
    <s v="May"/>
    <x v="7"/>
    <x v="2"/>
    <x v="2"/>
    <n v="672"/>
    <n v="11.1"/>
    <n v="95424"/>
  </r>
  <r>
    <n v="123"/>
    <s v="2024-03-29"/>
    <n v="2024"/>
    <s v="March"/>
    <x v="3"/>
    <x v="4"/>
    <x v="4"/>
    <n v="1180"/>
    <n v="3.8"/>
    <n v="94400"/>
  </r>
  <r>
    <n v="204"/>
    <s v="2024-01-04"/>
    <n v="2024"/>
    <s v="January"/>
    <x v="3"/>
    <x v="0"/>
    <x v="3"/>
    <n v="421"/>
    <n v="12.6"/>
    <n v="94304"/>
  </r>
  <r>
    <n v="254"/>
    <s v="2024-05-01"/>
    <n v="2024"/>
    <s v="May"/>
    <x v="3"/>
    <x v="3"/>
    <x v="2"/>
    <n v="666"/>
    <n v="4.3"/>
    <n v="93906"/>
  </r>
  <r>
    <n v="463"/>
    <s v="2024-11-16"/>
    <n v="2024"/>
    <s v="November"/>
    <x v="3"/>
    <x v="3"/>
    <x v="5"/>
    <n v="675"/>
    <n v="11"/>
    <n v="93825"/>
  </r>
  <r>
    <n v="292"/>
    <s v="2024-03-19"/>
    <n v="2024"/>
    <s v="March"/>
    <x v="0"/>
    <x v="5"/>
    <x v="2"/>
    <n v="400"/>
    <n v="10.199999999999999"/>
    <n v="93600"/>
  </r>
  <r>
    <n v="150"/>
    <s v="2024-02-21"/>
    <n v="2024"/>
    <s v="February"/>
    <x v="2"/>
    <x v="4"/>
    <x v="4"/>
    <n v="1127"/>
    <n v="13"/>
    <n v="93541"/>
  </r>
  <r>
    <n v="215"/>
    <s v="2024-01-22"/>
    <n v="2024"/>
    <s v="January"/>
    <x v="0"/>
    <x v="1"/>
    <x v="0"/>
    <n v="943"/>
    <n v="3.2"/>
    <n v="93357"/>
  </r>
  <r>
    <n v="438"/>
    <s v="2024-08-04"/>
    <n v="2024"/>
    <s v="August"/>
    <x v="2"/>
    <x v="1"/>
    <x v="3"/>
    <n v="430"/>
    <n v="8.4"/>
    <n v="93310"/>
  </r>
  <r>
    <n v="60"/>
    <s v="2024-06-28"/>
    <n v="2024"/>
    <s v="June"/>
    <x v="6"/>
    <x v="0"/>
    <x v="4"/>
    <n v="675"/>
    <n v="12"/>
    <n v="93150"/>
  </r>
  <r>
    <n v="274"/>
    <s v="2024-02-04"/>
    <n v="2024"/>
    <s v="February"/>
    <x v="0"/>
    <x v="4"/>
    <x v="2"/>
    <n v="533"/>
    <n v="11.6"/>
    <n v="92209"/>
  </r>
  <r>
    <n v="162"/>
    <s v="2024-02-24"/>
    <n v="2024"/>
    <s v="February"/>
    <x v="1"/>
    <x v="3"/>
    <x v="1"/>
    <n v="535"/>
    <n v="7.2"/>
    <n v="91485"/>
  </r>
  <r>
    <n v="465"/>
    <s v="2024-04-25"/>
    <n v="2024"/>
    <s v="April"/>
    <x v="5"/>
    <x v="3"/>
    <x v="1"/>
    <n v="1113"/>
    <n v="10.5"/>
    <n v="91266"/>
  </r>
  <r>
    <n v="301"/>
    <s v="2024-06-09"/>
    <n v="2024"/>
    <s v="June"/>
    <x v="7"/>
    <x v="4"/>
    <x v="1"/>
    <n v="438"/>
    <n v="11.4"/>
    <n v="90666"/>
  </r>
  <r>
    <n v="120"/>
    <s v="2024-11-06"/>
    <n v="2024"/>
    <s v="November"/>
    <x v="7"/>
    <x v="4"/>
    <x v="1"/>
    <n v="512"/>
    <n v="11.5"/>
    <n v="90624"/>
  </r>
  <r>
    <n v="311"/>
    <s v="2024-06-12"/>
    <n v="2024"/>
    <s v="June"/>
    <x v="1"/>
    <x v="1"/>
    <x v="1"/>
    <n v="382"/>
    <n v="7.3"/>
    <n v="90534"/>
  </r>
  <r>
    <n v="417"/>
    <s v="2024-03-19"/>
    <n v="2024"/>
    <s v="March"/>
    <x v="7"/>
    <x v="1"/>
    <x v="0"/>
    <n v="916"/>
    <n v="11.7"/>
    <n v="89768"/>
  </r>
  <r>
    <n v="222"/>
    <s v="2024-11-04"/>
    <n v="2024"/>
    <s v="November"/>
    <x v="4"/>
    <x v="6"/>
    <x v="4"/>
    <n v="363"/>
    <n v="11.4"/>
    <n v="89661"/>
  </r>
  <r>
    <n v="73"/>
    <s v="2024-12-10"/>
    <n v="2024"/>
    <s v="December"/>
    <x v="2"/>
    <x v="0"/>
    <x v="5"/>
    <n v="685"/>
    <n v="5.5"/>
    <n v="89050"/>
  </r>
  <r>
    <n v="203"/>
    <s v="2024-12-21"/>
    <n v="2024"/>
    <s v="December"/>
    <x v="1"/>
    <x v="2"/>
    <x v="1"/>
    <n v="597"/>
    <n v="3.3"/>
    <n v="88953"/>
  </r>
  <r>
    <n v="342"/>
    <s v="2024-11-23"/>
    <n v="2024"/>
    <s v="November"/>
    <x v="6"/>
    <x v="6"/>
    <x v="0"/>
    <n v="654"/>
    <n v="7"/>
    <n v="88944"/>
  </r>
  <r>
    <n v="214"/>
    <s v="2024-12-26"/>
    <n v="2024"/>
    <s v="December"/>
    <x v="4"/>
    <x v="4"/>
    <x v="4"/>
    <n v="521"/>
    <n v="8.5"/>
    <n v="88570"/>
  </r>
  <r>
    <n v="161"/>
    <s v="2024-12-19"/>
    <n v="2024"/>
    <s v="December"/>
    <x v="6"/>
    <x v="4"/>
    <x v="0"/>
    <n v="562"/>
    <n v="8"/>
    <n v="88234"/>
  </r>
  <r>
    <n v="472"/>
    <s v="2024-05-06"/>
    <n v="2024"/>
    <s v="May"/>
    <x v="1"/>
    <x v="5"/>
    <x v="4"/>
    <n v="617"/>
    <n v="10.1"/>
    <n v="88231"/>
  </r>
  <r>
    <n v="103"/>
    <s v="2024-02-14"/>
    <n v="2024"/>
    <s v="February"/>
    <x v="7"/>
    <x v="1"/>
    <x v="2"/>
    <n v="621"/>
    <n v="12.7"/>
    <n v="88182"/>
  </r>
  <r>
    <n v="164"/>
    <s v="2024-09-11"/>
    <n v="2024"/>
    <s v="September"/>
    <x v="0"/>
    <x v="6"/>
    <x v="4"/>
    <n v="636"/>
    <n v="11.5"/>
    <n v="87768"/>
  </r>
  <r>
    <n v="116"/>
    <s v="2024-11-22"/>
    <n v="2024"/>
    <s v="November"/>
    <x v="1"/>
    <x v="4"/>
    <x v="0"/>
    <n v="1055"/>
    <n v="4.0999999999999996"/>
    <n v="87565"/>
  </r>
  <r>
    <n v="321"/>
    <s v="2024-04-08"/>
    <n v="2024"/>
    <s v="April"/>
    <x v="6"/>
    <x v="2"/>
    <x v="1"/>
    <n v="554"/>
    <n v="6.1"/>
    <n v="86424"/>
  </r>
  <r>
    <n v="500"/>
    <s v="2024-05-01"/>
    <n v="2024"/>
    <s v="May"/>
    <x v="2"/>
    <x v="3"/>
    <x v="1"/>
    <n v="909"/>
    <n v="8.4"/>
    <n v="86355"/>
  </r>
  <r>
    <n v="50"/>
    <s v="2024-10-10"/>
    <n v="2024"/>
    <s v="October"/>
    <x v="6"/>
    <x v="3"/>
    <x v="1"/>
    <n v="368"/>
    <n v="6"/>
    <n v="86112"/>
  </r>
  <r>
    <n v="235"/>
    <s v="2024-12-01"/>
    <n v="2024"/>
    <s v="December"/>
    <x v="1"/>
    <x v="1"/>
    <x v="0"/>
    <n v="852"/>
    <n v="4.4000000000000004"/>
    <n v="86052"/>
  </r>
  <r>
    <n v="201"/>
    <s v="2024-09-03"/>
    <n v="2024"/>
    <s v="September"/>
    <x v="0"/>
    <x v="0"/>
    <x v="1"/>
    <n v="509"/>
    <n v="12.3"/>
    <n v="86021"/>
  </r>
  <r>
    <n v="140"/>
    <s v="2024-11-07"/>
    <n v="2024"/>
    <s v="November"/>
    <x v="5"/>
    <x v="1"/>
    <x v="0"/>
    <n v="540"/>
    <n v="10.8"/>
    <n v="85860"/>
  </r>
  <r>
    <n v="181"/>
    <s v="2024-05-21"/>
    <n v="2024"/>
    <s v="May"/>
    <x v="4"/>
    <x v="3"/>
    <x v="3"/>
    <n v="438"/>
    <n v="13.7"/>
    <n v="85848"/>
  </r>
  <r>
    <n v="282"/>
    <s v="2024-12-24"/>
    <n v="2024"/>
    <s v="December"/>
    <x v="6"/>
    <x v="0"/>
    <x v="3"/>
    <n v="406"/>
    <n v="11.7"/>
    <n v="85260"/>
  </r>
  <r>
    <n v="248"/>
    <s v="2024-02-16"/>
    <n v="2024"/>
    <s v="February"/>
    <x v="5"/>
    <x v="4"/>
    <x v="5"/>
    <n v="504"/>
    <n v="12"/>
    <n v="85176"/>
  </r>
  <r>
    <n v="51"/>
    <s v="2024-04-14"/>
    <n v="2024"/>
    <s v="April"/>
    <x v="5"/>
    <x v="0"/>
    <x v="4"/>
    <n v="590"/>
    <n v="8.6"/>
    <n v="84960"/>
  </r>
  <r>
    <n v="366"/>
    <s v="2024-08-30"/>
    <n v="2024"/>
    <s v="August"/>
    <x v="2"/>
    <x v="5"/>
    <x v="0"/>
    <n v="543"/>
    <n v="12.3"/>
    <n v="84708"/>
  </r>
  <r>
    <n v="61"/>
    <s v="2024-04-08"/>
    <n v="2024"/>
    <s v="April"/>
    <x v="1"/>
    <x v="2"/>
    <x v="4"/>
    <n v="866"/>
    <n v="6.6"/>
    <n v="84002"/>
  </r>
  <r>
    <n v="111"/>
    <s v="2024-08-20"/>
    <n v="2024"/>
    <s v="August"/>
    <x v="4"/>
    <x v="3"/>
    <x v="3"/>
    <n v="604"/>
    <n v="6.4"/>
    <n v="83956"/>
  </r>
  <r>
    <n v="256"/>
    <s v="2024-10-21"/>
    <n v="2024"/>
    <s v="October"/>
    <x v="3"/>
    <x v="0"/>
    <x v="2"/>
    <n v="545"/>
    <n v="10.9"/>
    <n v="83930"/>
  </r>
  <r>
    <n v="304"/>
    <s v="2024-12-10"/>
    <n v="2024"/>
    <s v="December"/>
    <x v="4"/>
    <x v="4"/>
    <x v="3"/>
    <n v="1013"/>
    <n v="6.1"/>
    <n v="83066"/>
  </r>
  <r>
    <n v="13"/>
    <s v="2024-01-29"/>
    <n v="2024"/>
    <s v="January"/>
    <x v="3"/>
    <x v="2"/>
    <x v="5"/>
    <n v="519"/>
    <n v="12"/>
    <n v="83040"/>
  </r>
  <r>
    <n v="347"/>
    <s v="2024-03-17"/>
    <n v="2024"/>
    <s v="March"/>
    <x v="7"/>
    <x v="0"/>
    <x v="4"/>
    <n v="386"/>
    <n v="6.6"/>
    <n v="82218"/>
  </r>
  <r>
    <n v="362"/>
    <s v="2024-12-10"/>
    <n v="2024"/>
    <s v="December"/>
    <x v="6"/>
    <x v="4"/>
    <x v="1"/>
    <n v="706"/>
    <n v="5.6"/>
    <n v="81896"/>
  </r>
  <r>
    <n v="234"/>
    <s v="2024-12-02"/>
    <n v="2024"/>
    <s v="December"/>
    <x v="2"/>
    <x v="2"/>
    <x v="1"/>
    <n v="357"/>
    <n v="6.7"/>
    <n v="81753"/>
  </r>
  <r>
    <n v="159"/>
    <s v="2024-05-10"/>
    <n v="2024"/>
    <s v="May"/>
    <x v="7"/>
    <x v="2"/>
    <x v="4"/>
    <n v="991"/>
    <n v="5.8"/>
    <n v="81262"/>
  </r>
  <r>
    <n v="114"/>
    <s v="2024-05-31"/>
    <n v="2024"/>
    <s v="May"/>
    <x v="5"/>
    <x v="3"/>
    <x v="2"/>
    <n v="515"/>
    <n v="7"/>
    <n v="80855"/>
  </r>
  <r>
    <n v="78"/>
    <s v="2024-08-21"/>
    <n v="2024"/>
    <s v="August"/>
    <x v="0"/>
    <x v="5"/>
    <x v="0"/>
    <n v="323"/>
    <n v="11.8"/>
    <n v="80750"/>
  </r>
  <r>
    <n v="175"/>
    <s v="2024-11-28"/>
    <n v="2024"/>
    <s v="November"/>
    <x v="5"/>
    <x v="2"/>
    <x v="0"/>
    <n v="886"/>
    <n v="4.3"/>
    <n v="80626"/>
  </r>
  <r>
    <n v="75"/>
    <s v="2024-10-21"/>
    <n v="2024"/>
    <s v="October"/>
    <x v="7"/>
    <x v="4"/>
    <x v="3"/>
    <n v="448"/>
    <n v="10.9"/>
    <n v="79744"/>
  </r>
  <r>
    <n v="294"/>
    <s v="2024-10-19"/>
    <n v="2024"/>
    <s v="October"/>
    <x v="7"/>
    <x v="3"/>
    <x v="2"/>
    <n v="903"/>
    <n v="9.8000000000000007"/>
    <n v="78561"/>
  </r>
  <r>
    <n v="69"/>
    <s v="2024-10-10"/>
    <n v="2024"/>
    <s v="October"/>
    <x v="3"/>
    <x v="3"/>
    <x v="4"/>
    <n v="310"/>
    <n v="5.0999999999999996"/>
    <n v="77500"/>
  </r>
  <r>
    <n v="411"/>
    <s v="2024-11-29"/>
    <n v="2024"/>
    <s v="November"/>
    <x v="6"/>
    <x v="4"/>
    <x v="1"/>
    <n v="328"/>
    <n v="6.3"/>
    <n v="76752"/>
  </r>
  <r>
    <n v="8"/>
    <s v="2024-11-17"/>
    <n v="2024"/>
    <s v="November"/>
    <x v="5"/>
    <x v="3"/>
    <x v="3"/>
    <n v="790"/>
    <n v="9.4"/>
    <n v="76630"/>
  </r>
  <r>
    <n v="468"/>
    <s v="2024-03-09"/>
    <n v="2024"/>
    <s v="March"/>
    <x v="5"/>
    <x v="1"/>
    <x v="4"/>
    <n v="342"/>
    <n v="3.8"/>
    <n v="76608"/>
  </r>
  <r>
    <n v="233"/>
    <s v="2024-11-27"/>
    <n v="2024"/>
    <s v="November"/>
    <x v="3"/>
    <x v="2"/>
    <x v="1"/>
    <n v="735"/>
    <n v="3.7"/>
    <n v="76440"/>
  </r>
  <r>
    <n v="326"/>
    <s v="2024-05-19"/>
    <n v="2024"/>
    <s v="May"/>
    <x v="6"/>
    <x v="6"/>
    <x v="5"/>
    <n v="331"/>
    <n v="4.2"/>
    <n v="76130"/>
  </r>
  <r>
    <n v="391"/>
    <s v="2024-11-26"/>
    <n v="2024"/>
    <s v="November"/>
    <x v="5"/>
    <x v="6"/>
    <x v="3"/>
    <n v="728"/>
    <n v="9.1999999999999993"/>
    <n v="75712"/>
  </r>
  <r>
    <n v="388"/>
    <s v="2024-08-23"/>
    <n v="2024"/>
    <s v="August"/>
    <x v="1"/>
    <x v="3"/>
    <x v="5"/>
    <n v="548"/>
    <n v="13.9"/>
    <n v="75076"/>
  </r>
  <r>
    <n v="147"/>
    <s v="2024-04-06"/>
    <n v="2024"/>
    <s v="April"/>
    <x v="3"/>
    <x v="0"/>
    <x v="1"/>
    <n v="539"/>
    <n v="9.3000000000000007"/>
    <n v="74921"/>
  </r>
  <r>
    <n v="355"/>
    <s v="2024-03-01"/>
    <n v="2024"/>
    <s v="March"/>
    <x v="2"/>
    <x v="3"/>
    <x v="3"/>
    <n v="415"/>
    <n v="13.9"/>
    <n v="74700"/>
  </r>
  <r>
    <n v="192"/>
    <s v="2024-02-03"/>
    <n v="2024"/>
    <s v="February"/>
    <x v="0"/>
    <x v="4"/>
    <x v="2"/>
    <n v="308"/>
    <n v="6"/>
    <n v="74536"/>
  </r>
  <r>
    <n v="415"/>
    <s v="2024-12-28"/>
    <n v="2024"/>
    <s v="December"/>
    <x v="4"/>
    <x v="5"/>
    <x v="0"/>
    <n v="479"/>
    <n v="7.8"/>
    <n v="73766"/>
  </r>
  <r>
    <n v="94"/>
    <s v="2024-11-14"/>
    <n v="2024"/>
    <s v="November"/>
    <x v="4"/>
    <x v="1"/>
    <x v="3"/>
    <n v="362"/>
    <n v="5.6"/>
    <n v="72762"/>
  </r>
  <r>
    <n v="198"/>
    <s v="2024-07-09"/>
    <n v="2024"/>
    <s v="July"/>
    <x v="0"/>
    <x v="3"/>
    <x v="5"/>
    <n v="316"/>
    <n v="9.1"/>
    <n v="72680"/>
  </r>
  <r>
    <n v="261"/>
    <s v="2024-06-19"/>
    <n v="2024"/>
    <s v="June"/>
    <x v="0"/>
    <x v="5"/>
    <x v="4"/>
    <n v="323"/>
    <n v="3.5"/>
    <n v="70737"/>
  </r>
  <r>
    <n v="82"/>
    <s v="2024-06-20"/>
    <n v="2024"/>
    <s v="June"/>
    <x v="2"/>
    <x v="6"/>
    <x v="3"/>
    <n v="704"/>
    <n v="12.8"/>
    <n v="70400"/>
  </r>
  <r>
    <n v="95"/>
    <s v="2024-08-26"/>
    <n v="2024"/>
    <s v="August"/>
    <x v="4"/>
    <x v="5"/>
    <x v="3"/>
    <n v="574"/>
    <n v="11.4"/>
    <n v="70028"/>
  </r>
  <r>
    <n v="212"/>
    <s v="2024-06-03"/>
    <n v="2024"/>
    <s v="June"/>
    <x v="1"/>
    <x v="2"/>
    <x v="5"/>
    <n v="482"/>
    <n v="11.4"/>
    <n v="69890"/>
  </r>
  <r>
    <n v="122"/>
    <s v="2024-02-20"/>
    <n v="2024"/>
    <s v="February"/>
    <x v="4"/>
    <x v="6"/>
    <x v="3"/>
    <n v="475"/>
    <n v="9.9"/>
    <n v="69825"/>
  </r>
  <r>
    <n v="117"/>
    <s v="2024-08-13"/>
    <n v="2024"/>
    <s v="August"/>
    <x v="1"/>
    <x v="5"/>
    <x v="0"/>
    <n v="747"/>
    <n v="5"/>
    <n v="69471"/>
  </r>
  <r>
    <n v="452"/>
    <s v="2024-01-31"/>
    <n v="2024"/>
    <s v="January"/>
    <x v="2"/>
    <x v="6"/>
    <x v="3"/>
    <n v="617"/>
    <n v="12.5"/>
    <n v="69104"/>
  </r>
  <r>
    <n v="257"/>
    <s v="2024-06-29"/>
    <n v="2024"/>
    <s v="June"/>
    <x v="4"/>
    <x v="1"/>
    <x v="1"/>
    <n v="542"/>
    <n v="9.3000000000000007"/>
    <n v="68834"/>
  </r>
  <r>
    <n v="25"/>
    <s v="2024-03-05"/>
    <n v="2024"/>
    <s v="March"/>
    <x v="2"/>
    <x v="2"/>
    <x v="2"/>
    <n v="312"/>
    <n v="10.3"/>
    <n v="68640"/>
  </r>
  <r>
    <n v="17"/>
    <s v="2024-02-26"/>
    <n v="2024"/>
    <s v="February"/>
    <x v="4"/>
    <x v="4"/>
    <x v="0"/>
    <n v="363"/>
    <n v="9.9"/>
    <n v="68244"/>
  </r>
  <r>
    <n v="269"/>
    <s v="2024-11-04"/>
    <n v="2024"/>
    <s v="November"/>
    <x v="4"/>
    <x v="0"/>
    <x v="1"/>
    <n v="419"/>
    <n v="9"/>
    <n v="67878"/>
  </r>
  <r>
    <n v="57"/>
    <s v="2024-03-20"/>
    <n v="2024"/>
    <s v="March"/>
    <x v="3"/>
    <x v="0"/>
    <x v="3"/>
    <n v="534"/>
    <n v="12.5"/>
    <n v="66750"/>
  </r>
  <r>
    <n v="98"/>
    <s v="2024-06-03"/>
    <n v="2024"/>
    <s v="June"/>
    <x v="5"/>
    <x v="2"/>
    <x v="2"/>
    <n v="297"/>
    <n v="11.8"/>
    <n v="66528"/>
  </r>
  <r>
    <n v="332"/>
    <s v="2024-09-10"/>
    <n v="2024"/>
    <s v="September"/>
    <x v="5"/>
    <x v="0"/>
    <x v="1"/>
    <n v="431"/>
    <n v="13.3"/>
    <n v="66374"/>
  </r>
  <r>
    <n v="357"/>
    <s v="2024-04-27"/>
    <n v="2024"/>
    <s v="April"/>
    <x v="1"/>
    <x v="6"/>
    <x v="4"/>
    <n v="556"/>
    <n v="8.1"/>
    <n v="66164"/>
  </r>
  <r>
    <n v="47"/>
    <s v="2024-02-05"/>
    <n v="2024"/>
    <s v="February"/>
    <x v="7"/>
    <x v="5"/>
    <x v="2"/>
    <n v="550"/>
    <n v="7.1"/>
    <n v="66000"/>
  </r>
  <r>
    <n v="227"/>
    <s v="2024-07-07"/>
    <n v="2024"/>
    <s v="July"/>
    <x v="3"/>
    <x v="4"/>
    <x v="2"/>
    <n v="637"/>
    <n v="3.8"/>
    <n v="65611"/>
  </r>
  <r>
    <n v="405"/>
    <s v="2024-01-07"/>
    <n v="2024"/>
    <s v="January"/>
    <x v="6"/>
    <x v="1"/>
    <x v="2"/>
    <n v="647"/>
    <n v="7.6"/>
    <n v="65347"/>
  </r>
  <r>
    <n v="324"/>
    <s v="2024-03-15"/>
    <n v="2024"/>
    <s v="March"/>
    <x v="0"/>
    <x v="4"/>
    <x v="4"/>
    <n v="644"/>
    <n v="3.5"/>
    <n v="64400"/>
  </r>
  <r>
    <n v="143"/>
    <s v="2024-08-29"/>
    <n v="2024"/>
    <s v="August"/>
    <x v="3"/>
    <x v="6"/>
    <x v="2"/>
    <n v="549"/>
    <n v="8"/>
    <n v="64233"/>
  </r>
  <r>
    <n v="446"/>
    <s v="2024-08-05"/>
    <n v="2024"/>
    <s v="August"/>
    <x v="6"/>
    <x v="2"/>
    <x v="5"/>
    <n v="259"/>
    <n v="11.1"/>
    <n v="63973"/>
  </r>
  <r>
    <n v="275"/>
    <s v="2024-01-17"/>
    <n v="2024"/>
    <s v="January"/>
    <x v="0"/>
    <x v="4"/>
    <x v="5"/>
    <n v="364"/>
    <n v="10.5"/>
    <n v="63336"/>
  </r>
  <r>
    <n v="435"/>
    <s v="2024-11-12"/>
    <n v="2024"/>
    <s v="November"/>
    <x v="4"/>
    <x v="3"/>
    <x v="3"/>
    <n v="403"/>
    <n v="12"/>
    <n v="62868"/>
  </r>
  <r>
    <n v="443"/>
    <s v="2024-05-20"/>
    <n v="2024"/>
    <s v="May"/>
    <x v="7"/>
    <x v="1"/>
    <x v="4"/>
    <n v="510"/>
    <n v="8.9"/>
    <n v="62730"/>
  </r>
  <r>
    <n v="349"/>
    <s v="2024-08-20"/>
    <n v="2024"/>
    <s v="August"/>
    <x v="5"/>
    <x v="1"/>
    <x v="0"/>
    <n v="320"/>
    <n v="8.6"/>
    <n v="62720"/>
  </r>
  <r>
    <n v="160"/>
    <s v="2024-10-06"/>
    <n v="2024"/>
    <s v="October"/>
    <x v="1"/>
    <x v="3"/>
    <x v="0"/>
    <n v="373"/>
    <n v="3.8"/>
    <n v="62664"/>
  </r>
  <r>
    <n v="54"/>
    <s v="2024-12-19"/>
    <n v="2024"/>
    <s v="December"/>
    <x v="2"/>
    <x v="4"/>
    <x v="3"/>
    <n v="355"/>
    <n v="9"/>
    <n v="61770"/>
  </r>
  <r>
    <n v="55"/>
    <s v="2024-01-22"/>
    <n v="2024"/>
    <s v="January"/>
    <x v="0"/>
    <x v="6"/>
    <x v="4"/>
    <n v="681"/>
    <n v="7"/>
    <n v="61290"/>
  </r>
  <r>
    <n v="130"/>
    <s v="2024-08-09"/>
    <n v="2024"/>
    <s v="August"/>
    <x v="4"/>
    <x v="6"/>
    <x v="4"/>
    <n v="710"/>
    <n v="9.6"/>
    <n v="61060"/>
  </r>
  <r>
    <n v="63"/>
    <s v="2024-05-13"/>
    <n v="2024"/>
    <s v="May"/>
    <x v="5"/>
    <x v="0"/>
    <x v="2"/>
    <n v="415"/>
    <n v="9.4"/>
    <n v="61005"/>
  </r>
  <r>
    <n v="447"/>
    <s v="2024-08-18"/>
    <n v="2024"/>
    <s v="August"/>
    <x v="7"/>
    <x v="5"/>
    <x v="5"/>
    <n v="588"/>
    <n v="6.8"/>
    <n v="59976"/>
  </r>
  <r>
    <n v="276"/>
    <s v="2024-10-20"/>
    <n v="2024"/>
    <s v="October"/>
    <x v="0"/>
    <x v="3"/>
    <x v="1"/>
    <n v="331"/>
    <n v="8.8000000000000007"/>
    <n v="59911"/>
  </r>
  <r>
    <n v="401"/>
    <s v="2024-12-30"/>
    <n v="2024"/>
    <s v="December"/>
    <x v="0"/>
    <x v="0"/>
    <x v="5"/>
    <n v="365"/>
    <n v="11.1"/>
    <n v="58765"/>
  </r>
  <r>
    <n v="56"/>
    <s v="2024-05-07"/>
    <n v="2024"/>
    <s v="May"/>
    <x v="3"/>
    <x v="1"/>
    <x v="4"/>
    <n v="260"/>
    <n v="6.9"/>
    <n v="57980"/>
  </r>
  <r>
    <n v="115"/>
    <s v="2024-03-05"/>
    <n v="2024"/>
    <s v="March"/>
    <x v="1"/>
    <x v="3"/>
    <x v="3"/>
    <n v="611"/>
    <n v="3.5"/>
    <n v="56823"/>
  </r>
  <r>
    <n v="432"/>
    <s v="2024-02-02"/>
    <n v="2024"/>
    <s v="February"/>
    <x v="2"/>
    <x v="2"/>
    <x v="1"/>
    <n v="258"/>
    <n v="11.8"/>
    <n v="55986"/>
  </r>
  <r>
    <n v="400"/>
    <s v="2024-05-31"/>
    <n v="2024"/>
    <s v="May"/>
    <x v="1"/>
    <x v="6"/>
    <x v="0"/>
    <n v="554"/>
    <n v="10.8"/>
    <n v="55954"/>
  </r>
  <r>
    <n v="478"/>
    <s v="2024-01-08"/>
    <n v="2024"/>
    <s v="January"/>
    <x v="3"/>
    <x v="1"/>
    <x v="1"/>
    <n v="586"/>
    <n v="5.4"/>
    <n v="55670"/>
  </r>
  <r>
    <n v="371"/>
    <s v="2024-06-19"/>
    <n v="2024"/>
    <s v="June"/>
    <x v="6"/>
    <x v="6"/>
    <x v="4"/>
    <n v="670"/>
    <n v="13.5"/>
    <n v="55610"/>
  </r>
  <r>
    <n v="141"/>
    <s v="2024-02-17"/>
    <n v="2024"/>
    <s v="February"/>
    <x v="7"/>
    <x v="0"/>
    <x v="4"/>
    <n v="510"/>
    <n v="13.9"/>
    <n v="55590"/>
  </r>
  <r>
    <n v="72"/>
    <s v="2024-03-27"/>
    <n v="2024"/>
    <s v="March"/>
    <x v="0"/>
    <x v="0"/>
    <x v="3"/>
    <n v="223"/>
    <n v="6.1"/>
    <n v="55527"/>
  </r>
  <r>
    <n v="481"/>
    <s v="2024-09-18"/>
    <n v="2024"/>
    <s v="September"/>
    <x v="0"/>
    <x v="4"/>
    <x v="2"/>
    <n v="466"/>
    <n v="13.7"/>
    <n v="55454"/>
  </r>
  <r>
    <n v="297"/>
    <s v="2024-06-23"/>
    <n v="2024"/>
    <s v="June"/>
    <x v="0"/>
    <x v="4"/>
    <x v="3"/>
    <n v="344"/>
    <n v="6.4"/>
    <n v="55384"/>
  </r>
  <r>
    <n v="246"/>
    <s v="2024-10-10"/>
    <n v="2024"/>
    <s v="October"/>
    <x v="4"/>
    <x v="2"/>
    <x v="5"/>
    <n v="260"/>
    <n v="10.8"/>
    <n v="55120"/>
  </r>
  <r>
    <n v="20"/>
    <s v="2024-08-10"/>
    <n v="2024"/>
    <s v="August"/>
    <x v="2"/>
    <x v="1"/>
    <x v="5"/>
    <n v="373"/>
    <n v="8"/>
    <n v="54831"/>
  </r>
  <r>
    <n v="173"/>
    <s v="2024-07-09"/>
    <n v="2024"/>
    <s v="July"/>
    <x v="5"/>
    <x v="1"/>
    <x v="2"/>
    <n v="271"/>
    <n v="10.4"/>
    <n v="54200"/>
  </r>
  <r>
    <n v="176"/>
    <s v="2024-02-29"/>
    <n v="2024"/>
    <s v="February"/>
    <x v="2"/>
    <x v="4"/>
    <x v="0"/>
    <n v="249"/>
    <n v="5.6"/>
    <n v="54033"/>
  </r>
  <r>
    <n v="208"/>
    <s v="2024-01-26"/>
    <n v="2024"/>
    <s v="January"/>
    <x v="3"/>
    <x v="4"/>
    <x v="2"/>
    <n v="217"/>
    <n v="6"/>
    <n v="54033"/>
  </r>
  <r>
    <n v="81"/>
    <s v="2024-09-05"/>
    <n v="2024"/>
    <s v="September"/>
    <x v="1"/>
    <x v="6"/>
    <x v="1"/>
    <n v="539"/>
    <n v="6"/>
    <n v="53361"/>
  </r>
  <r>
    <n v="354"/>
    <s v="2024-07-11"/>
    <n v="2024"/>
    <s v="July"/>
    <x v="2"/>
    <x v="3"/>
    <x v="1"/>
    <n v="214"/>
    <n v="10.5"/>
    <n v="53286"/>
  </r>
  <r>
    <n v="70"/>
    <s v="2024-03-30"/>
    <n v="2024"/>
    <s v="March"/>
    <x v="1"/>
    <x v="2"/>
    <x v="3"/>
    <n v="666"/>
    <n v="7.5"/>
    <n v="53280"/>
  </r>
  <r>
    <n v="289"/>
    <s v="2024-06-04"/>
    <n v="2024"/>
    <s v="June"/>
    <x v="0"/>
    <x v="1"/>
    <x v="1"/>
    <n v="387"/>
    <n v="4.8"/>
    <n v="53019"/>
  </r>
  <r>
    <n v="461"/>
    <s v="2024-08-07"/>
    <n v="2024"/>
    <s v="August"/>
    <x v="1"/>
    <x v="6"/>
    <x v="1"/>
    <n v="464"/>
    <n v="14"/>
    <n v="52432"/>
  </r>
  <r>
    <n v="331"/>
    <s v="2024-01-20"/>
    <n v="2024"/>
    <s v="January"/>
    <x v="5"/>
    <x v="5"/>
    <x v="0"/>
    <n v="408"/>
    <n v="7.6"/>
    <n v="51000"/>
  </r>
  <r>
    <n v="359"/>
    <s v="2024-02-04"/>
    <n v="2024"/>
    <s v="February"/>
    <x v="5"/>
    <x v="6"/>
    <x v="4"/>
    <n v="256"/>
    <n v="9.5"/>
    <n v="49664"/>
  </r>
  <r>
    <n v="144"/>
    <s v="2024-09-17"/>
    <n v="2024"/>
    <s v="September"/>
    <x v="3"/>
    <x v="2"/>
    <x v="2"/>
    <n v="329"/>
    <n v="12.5"/>
    <n v="49350"/>
  </r>
  <r>
    <n v="464"/>
    <s v="2024-12-26"/>
    <n v="2024"/>
    <s v="December"/>
    <x v="4"/>
    <x v="6"/>
    <x v="2"/>
    <n v="244"/>
    <n v="3"/>
    <n v="49288"/>
  </r>
  <r>
    <n v="97"/>
    <s v="2024-04-11"/>
    <n v="2024"/>
    <s v="April"/>
    <x v="6"/>
    <x v="0"/>
    <x v="4"/>
    <n v="205"/>
    <n v="9.5"/>
    <n v="49200"/>
  </r>
  <r>
    <n v="397"/>
    <s v="2024-04-28"/>
    <n v="2024"/>
    <s v="April"/>
    <x v="3"/>
    <x v="5"/>
    <x v="1"/>
    <n v="205"/>
    <n v="6.7"/>
    <n v="48585"/>
  </r>
  <r>
    <n v="427"/>
    <s v="2024-01-23"/>
    <n v="2024"/>
    <s v="January"/>
    <x v="4"/>
    <x v="3"/>
    <x v="3"/>
    <n v="285"/>
    <n v="3.2"/>
    <n v="47595"/>
  </r>
  <r>
    <n v="484"/>
    <s v="2024-12-02"/>
    <n v="2024"/>
    <s v="December"/>
    <x v="5"/>
    <x v="6"/>
    <x v="0"/>
    <n v="409"/>
    <n v="4.3"/>
    <n v="47035"/>
  </r>
  <r>
    <n v="345"/>
    <s v="2024-12-14"/>
    <n v="2024"/>
    <s v="December"/>
    <x v="0"/>
    <x v="0"/>
    <x v="2"/>
    <n v="217"/>
    <n v="8.8000000000000007"/>
    <n v="46655"/>
  </r>
  <r>
    <n v="368"/>
    <s v="2024-05-10"/>
    <n v="2024"/>
    <s v="May"/>
    <x v="7"/>
    <x v="5"/>
    <x v="1"/>
    <n v="466"/>
    <n v="6.6"/>
    <n v="46600"/>
  </r>
  <r>
    <n v="37"/>
    <s v="2024-09-03"/>
    <n v="2024"/>
    <s v="September"/>
    <x v="2"/>
    <x v="4"/>
    <x v="5"/>
    <n v="487"/>
    <n v="12.5"/>
    <n v="46265"/>
  </r>
  <r>
    <n v="152"/>
    <s v="2024-07-22"/>
    <n v="2024"/>
    <s v="July"/>
    <x v="3"/>
    <x v="2"/>
    <x v="4"/>
    <n v="214"/>
    <n v="12.4"/>
    <n v="46224"/>
  </r>
  <r>
    <n v="283"/>
    <s v="2024-03-12"/>
    <n v="2024"/>
    <s v="March"/>
    <x v="0"/>
    <x v="1"/>
    <x v="2"/>
    <n v="534"/>
    <n v="11.7"/>
    <n v="45924"/>
  </r>
  <r>
    <n v="100"/>
    <s v="2024-09-07"/>
    <n v="2024"/>
    <s v="September"/>
    <x v="7"/>
    <x v="3"/>
    <x v="3"/>
    <n v="266"/>
    <n v="7.8"/>
    <n v="45752"/>
  </r>
  <r>
    <n v="3"/>
    <s v="2024-04-21"/>
    <n v="2024"/>
    <s v="April"/>
    <x v="6"/>
    <x v="3"/>
    <x v="4"/>
    <n v="526"/>
    <n v="8.6"/>
    <n v="45236"/>
  </r>
  <r>
    <n v="467"/>
    <s v="2024-02-15"/>
    <n v="2024"/>
    <s v="February"/>
    <x v="1"/>
    <x v="6"/>
    <x v="0"/>
    <n v="259"/>
    <n v="4.0999999999999996"/>
    <n v="45066"/>
  </r>
  <r>
    <n v="35"/>
    <s v="2024-05-07"/>
    <n v="2024"/>
    <s v="May"/>
    <x v="4"/>
    <x v="0"/>
    <x v="4"/>
    <n v="204"/>
    <n v="7.9"/>
    <n v="44880"/>
  </r>
  <r>
    <n v="333"/>
    <s v="2024-10-17"/>
    <n v="2024"/>
    <s v="October"/>
    <x v="1"/>
    <x v="4"/>
    <x v="4"/>
    <n v="269"/>
    <n v="13.2"/>
    <n v="44385"/>
  </r>
  <r>
    <n v="273"/>
    <s v="2024-12-13"/>
    <n v="2024"/>
    <s v="December"/>
    <x v="7"/>
    <x v="0"/>
    <x v="3"/>
    <n v="377"/>
    <n v="13.5"/>
    <n v="43732"/>
  </r>
  <r>
    <n v="88"/>
    <s v="2024-07-26"/>
    <n v="2024"/>
    <s v="July"/>
    <x v="5"/>
    <x v="4"/>
    <x v="2"/>
    <n v="388"/>
    <n v="12.2"/>
    <n v="43456"/>
  </r>
  <r>
    <n v="134"/>
    <s v="2024-06-13"/>
    <n v="2024"/>
    <s v="June"/>
    <x v="3"/>
    <x v="3"/>
    <x v="0"/>
    <n v="264"/>
    <n v="12.4"/>
    <n v="43296"/>
  </r>
  <r>
    <n v="383"/>
    <s v="2024-07-10"/>
    <n v="2024"/>
    <s v="July"/>
    <x v="7"/>
    <x v="3"/>
    <x v="0"/>
    <n v="173"/>
    <n v="9.8000000000000007"/>
    <n v="43250"/>
  </r>
  <r>
    <n v="96"/>
    <s v="2024-06-08"/>
    <n v="2024"/>
    <s v="June"/>
    <x v="3"/>
    <x v="4"/>
    <x v="4"/>
    <n v="271"/>
    <n v="9.4"/>
    <n v="43089"/>
  </r>
  <r>
    <n v="24"/>
    <s v="2024-05-03"/>
    <n v="2024"/>
    <s v="May"/>
    <x v="4"/>
    <x v="5"/>
    <x v="2"/>
    <n v="211"/>
    <n v="3.9"/>
    <n v="43044"/>
  </r>
  <r>
    <n v="278"/>
    <s v="2024-10-14"/>
    <n v="2024"/>
    <s v="October"/>
    <x v="7"/>
    <x v="6"/>
    <x v="2"/>
    <n v="291"/>
    <n v="5.9"/>
    <n v="42486"/>
  </r>
  <r>
    <n v="376"/>
    <s v="2024-10-15"/>
    <n v="2024"/>
    <s v="October"/>
    <x v="1"/>
    <x v="1"/>
    <x v="2"/>
    <n v="503"/>
    <n v="11.2"/>
    <n v="42252"/>
  </r>
  <r>
    <n v="183"/>
    <s v="2024-04-15"/>
    <n v="2024"/>
    <s v="April"/>
    <x v="6"/>
    <x v="1"/>
    <x v="3"/>
    <n v="190"/>
    <n v="12.1"/>
    <n v="41990"/>
  </r>
  <r>
    <n v="157"/>
    <s v="2024-07-29"/>
    <n v="2024"/>
    <s v="July"/>
    <x v="3"/>
    <x v="1"/>
    <x v="4"/>
    <n v="418"/>
    <n v="4.9000000000000004"/>
    <n v="41800"/>
  </r>
  <r>
    <n v="1"/>
    <s v="2024-11-23"/>
    <n v="2024"/>
    <s v="November"/>
    <x v="6"/>
    <x v="6"/>
    <x v="3"/>
    <n v="278"/>
    <n v="3.3"/>
    <n v="41700"/>
  </r>
  <r>
    <n v="33"/>
    <s v="2024-01-28"/>
    <n v="2024"/>
    <s v="January"/>
    <x v="4"/>
    <x v="6"/>
    <x v="3"/>
    <n v="251"/>
    <n v="3.7"/>
    <n v="41666"/>
  </r>
  <r>
    <n v="28"/>
    <s v="2024-04-25"/>
    <n v="2024"/>
    <s v="April"/>
    <x v="6"/>
    <x v="1"/>
    <x v="3"/>
    <n v="181"/>
    <n v="6.7"/>
    <n v="41630"/>
  </r>
  <r>
    <n v="127"/>
    <s v="2024-05-16"/>
    <n v="2024"/>
    <s v="May"/>
    <x v="1"/>
    <x v="1"/>
    <x v="4"/>
    <n v="341"/>
    <n v="3.8"/>
    <n v="41602"/>
  </r>
  <r>
    <n v="221"/>
    <s v="2024-06-28"/>
    <n v="2024"/>
    <s v="June"/>
    <x v="1"/>
    <x v="6"/>
    <x v="3"/>
    <n v="352"/>
    <n v="5.6"/>
    <n v="41184"/>
  </r>
  <r>
    <n v="6"/>
    <s v="2024-02-22"/>
    <n v="2024"/>
    <s v="February"/>
    <x v="0"/>
    <x v="1"/>
    <x v="1"/>
    <n v="239"/>
    <n v="7.2"/>
    <n v="40869"/>
  </r>
  <r>
    <n v="363"/>
    <s v="2024-05-20"/>
    <n v="2024"/>
    <s v="May"/>
    <x v="2"/>
    <x v="3"/>
    <x v="4"/>
    <n v="174"/>
    <n v="9.1"/>
    <n v="40194"/>
  </r>
  <r>
    <n v="155"/>
    <s v="2024-12-26"/>
    <n v="2024"/>
    <s v="December"/>
    <x v="5"/>
    <x v="0"/>
    <x v="1"/>
    <n v="255"/>
    <n v="7.9"/>
    <n v="39780"/>
  </r>
  <r>
    <n v="477"/>
    <s v="2024-12-15"/>
    <n v="2024"/>
    <s v="December"/>
    <x v="5"/>
    <x v="1"/>
    <x v="5"/>
    <n v="403"/>
    <n v="11.4"/>
    <n v="39494"/>
  </r>
  <r>
    <n v="167"/>
    <s v="2024-03-08"/>
    <n v="2024"/>
    <s v="March"/>
    <x v="3"/>
    <x v="6"/>
    <x v="3"/>
    <n v="234"/>
    <n v="13"/>
    <n v="38142"/>
  </r>
  <r>
    <n v="240"/>
    <s v="2024-11-12"/>
    <n v="2024"/>
    <s v="November"/>
    <x v="2"/>
    <x v="6"/>
    <x v="4"/>
    <n v="318"/>
    <n v="9.6"/>
    <n v="37842"/>
  </r>
  <r>
    <n v="318"/>
    <s v="2024-08-29"/>
    <n v="2024"/>
    <s v="August"/>
    <x v="6"/>
    <x v="1"/>
    <x v="1"/>
    <n v="177"/>
    <n v="10.8"/>
    <n v="37524"/>
  </r>
  <r>
    <n v="112"/>
    <s v="2024-06-10"/>
    <n v="2024"/>
    <s v="June"/>
    <x v="6"/>
    <x v="6"/>
    <x v="4"/>
    <n v="294"/>
    <n v="11.2"/>
    <n v="37338"/>
  </r>
  <r>
    <n v="272"/>
    <s v="2024-01-30"/>
    <n v="2024"/>
    <s v="January"/>
    <x v="0"/>
    <x v="1"/>
    <x v="4"/>
    <n v="203"/>
    <n v="10.4"/>
    <n v="37149"/>
  </r>
  <r>
    <n v="280"/>
    <s v="2024-08-15"/>
    <n v="2024"/>
    <s v="August"/>
    <x v="0"/>
    <x v="3"/>
    <x v="5"/>
    <n v="229"/>
    <n v="11.9"/>
    <n v="36869"/>
  </r>
  <r>
    <n v="255"/>
    <s v="2024-08-22"/>
    <n v="2024"/>
    <s v="August"/>
    <x v="5"/>
    <x v="3"/>
    <x v="2"/>
    <n v="178"/>
    <n v="4.2"/>
    <n v="36846"/>
  </r>
  <r>
    <n v="346"/>
    <s v="2024-02-27"/>
    <n v="2024"/>
    <s v="February"/>
    <x v="6"/>
    <x v="1"/>
    <x v="2"/>
    <n v="176"/>
    <n v="12.1"/>
    <n v="36784"/>
  </r>
  <r>
    <n v="277"/>
    <s v="2024-05-07"/>
    <n v="2024"/>
    <s v="May"/>
    <x v="7"/>
    <x v="1"/>
    <x v="0"/>
    <n v="282"/>
    <n v="3.3"/>
    <n v="35814"/>
  </r>
  <r>
    <n v="241"/>
    <s v="2024-11-15"/>
    <n v="2024"/>
    <s v="November"/>
    <x v="3"/>
    <x v="2"/>
    <x v="4"/>
    <n v="389"/>
    <n v="10.9"/>
    <n v="35399"/>
  </r>
  <r>
    <n v="482"/>
    <s v="2024-11-20"/>
    <n v="2024"/>
    <s v="November"/>
    <x v="6"/>
    <x v="0"/>
    <x v="3"/>
    <n v="185"/>
    <n v="6.4"/>
    <n v="35335"/>
  </r>
  <r>
    <n v="396"/>
    <s v="2024-03-12"/>
    <n v="2024"/>
    <s v="March"/>
    <x v="5"/>
    <x v="0"/>
    <x v="0"/>
    <n v="210"/>
    <n v="8.5"/>
    <n v="35280"/>
  </r>
  <r>
    <n v="386"/>
    <s v="2024-02-24"/>
    <n v="2024"/>
    <s v="February"/>
    <x v="6"/>
    <x v="1"/>
    <x v="2"/>
    <n v="247"/>
    <n v="8.8000000000000007"/>
    <n v="34827"/>
  </r>
  <r>
    <n v="83"/>
    <s v="2024-07-15"/>
    <n v="2024"/>
    <s v="July"/>
    <x v="3"/>
    <x v="4"/>
    <x v="1"/>
    <n v="362"/>
    <n v="10.8"/>
    <n v="34752"/>
  </r>
  <r>
    <n v="189"/>
    <s v="2024-04-23"/>
    <n v="2024"/>
    <s v="April"/>
    <x v="1"/>
    <x v="4"/>
    <x v="4"/>
    <n v="138"/>
    <n v="11"/>
    <n v="34224"/>
  </r>
  <r>
    <n v="442"/>
    <s v="2024-09-07"/>
    <n v="2024"/>
    <s v="September"/>
    <x v="6"/>
    <x v="2"/>
    <x v="5"/>
    <n v="392"/>
    <n v="3.9"/>
    <n v="34104"/>
  </r>
  <r>
    <n v="46"/>
    <s v="2024-10-15"/>
    <n v="2024"/>
    <s v="October"/>
    <x v="1"/>
    <x v="6"/>
    <x v="1"/>
    <n v="254"/>
    <n v="3.8"/>
    <n v="34036"/>
  </r>
  <r>
    <n v="351"/>
    <s v="2024-04-21"/>
    <n v="2024"/>
    <s v="April"/>
    <x v="4"/>
    <x v="1"/>
    <x v="5"/>
    <n v="199"/>
    <n v="3.5"/>
    <n v="33432"/>
  </r>
  <r>
    <n v="211"/>
    <s v="2024-06-06"/>
    <n v="2024"/>
    <s v="June"/>
    <x v="5"/>
    <x v="0"/>
    <x v="3"/>
    <n v="143"/>
    <n v="5.4"/>
    <n v="33319"/>
  </r>
  <r>
    <n v="286"/>
    <s v="2024-10-21"/>
    <n v="2024"/>
    <s v="October"/>
    <x v="4"/>
    <x v="4"/>
    <x v="0"/>
    <n v="201"/>
    <n v="4.4000000000000004"/>
    <n v="32361"/>
  </r>
  <r>
    <n v="296"/>
    <s v="2024-12-18"/>
    <n v="2024"/>
    <s v="December"/>
    <x v="7"/>
    <x v="4"/>
    <x v="3"/>
    <n v="172"/>
    <n v="4.7"/>
    <n v="31992"/>
  </r>
  <r>
    <n v="436"/>
    <s v="2024-06-09"/>
    <n v="2024"/>
    <s v="June"/>
    <x v="2"/>
    <x v="2"/>
    <x v="4"/>
    <n v="291"/>
    <n v="5.6"/>
    <n v="31719"/>
  </r>
  <r>
    <n v="190"/>
    <s v="2024-01-16"/>
    <n v="2024"/>
    <s v="January"/>
    <x v="3"/>
    <x v="3"/>
    <x v="5"/>
    <n v="174"/>
    <n v="14"/>
    <n v="31668"/>
  </r>
  <r>
    <n v="245"/>
    <s v="2024-11-05"/>
    <n v="2024"/>
    <s v="November"/>
    <x v="7"/>
    <x v="5"/>
    <x v="1"/>
    <n v="333"/>
    <n v="12.6"/>
    <n v="30969"/>
  </r>
  <r>
    <n v="228"/>
    <s v="2024-10-10"/>
    <n v="2024"/>
    <s v="October"/>
    <x v="6"/>
    <x v="2"/>
    <x v="2"/>
    <n v="134"/>
    <n v="7.9"/>
    <n v="30284"/>
  </r>
  <r>
    <n v="49"/>
    <s v="2024-06-02"/>
    <n v="2024"/>
    <s v="June"/>
    <x v="1"/>
    <x v="0"/>
    <x v="5"/>
    <n v="262"/>
    <n v="13.3"/>
    <n v="29868"/>
  </r>
  <r>
    <n v="151"/>
    <s v="2024-03-20"/>
    <n v="2024"/>
    <s v="March"/>
    <x v="0"/>
    <x v="1"/>
    <x v="4"/>
    <n v="203"/>
    <n v="8.1999999999999993"/>
    <n v="29841"/>
  </r>
  <r>
    <n v="30"/>
    <s v="2024-06-18"/>
    <n v="2024"/>
    <s v="June"/>
    <x v="7"/>
    <x v="6"/>
    <x v="2"/>
    <n v="195"/>
    <n v="8.6999999999999993"/>
    <n v="29445"/>
  </r>
  <r>
    <n v="187"/>
    <s v="2024-05-15"/>
    <n v="2024"/>
    <s v="May"/>
    <x v="4"/>
    <x v="3"/>
    <x v="5"/>
    <n v="157"/>
    <n v="4.4000000000000004"/>
    <n v="29359"/>
  </r>
  <r>
    <n v="489"/>
    <s v="2024-05-10"/>
    <n v="2024"/>
    <s v="May"/>
    <x v="6"/>
    <x v="3"/>
    <x v="2"/>
    <n v="260"/>
    <n v="12.8"/>
    <n v="28340"/>
  </r>
  <r>
    <n v="338"/>
    <s v="2024-12-08"/>
    <n v="2024"/>
    <s v="December"/>
    <x v="7"/>
    <x v="2"/>
    <x v="3"/>
    <n v="245"/>
    <n v="5"/>
    <n v="28175"/>
  </r>
  <r>
    <n v="170"/>
    <s v="2024-08-27"/>
    <n v="2024"/>
    <s v="August"/>
    <x v="3"/>
    <x v="5"/>
    <x v="2"/>
    <n v="204"/>
    <n v="4.5"/>
    <n v="27948"/>
  </r>
  <r>
    <n v="381"/>
    <s v="2024-02-08"/>
    <n v="2024"/>
    <s v="February"/>
    <x v="2"/>
    <x v="5"/>
    <x v="4"/>
    <n v="149"/>
    <n v="11.4"/>
    <n v="27565"/>
  </r>
  <r>
    <n v="407"/>
    <s v="2024-03-15"/>
    <n v="2024"/>
    <s v="March"/>
    <x v="3"/>
    <x v="2"/>
    <x v="0"/>
    <n v="179"/>
    <n v="4.8"/>
    <n v="26850"/>
  </r>
  <r>
    <n v="424"/>
    <s v="2024-09-04"/>
    <n v="2024"/>
    <s v="September"/>
    <x v="4"/>
    <x v="5"/>
    <x v="4"/>
    <n v="264"/>
    <n v="6.2"/>
    <n v="26664"/>
  </r>
  <r>
    <n v="207"/>
    <s v="2024-11-01"/>
    <n v="2024"/>
    <s v="November"/>
    <x v="2"/>
    <x v="5"/>
    <x v="2"/>
    <n v="223"/>
    <n v="12.7"/>
    <n v="26537"/>
  </r>
  <r>
    <n v="42"/>
    <s v="2024-02-05"/>
    <n v="2024"/>
    <s v="February"/>
    <x v="3"/>
    <x v="0"/>
    <x v="2"/>
    <n v="189"/>
    <n v="10.4"/>
    <n v="26460"/>
  </r>
  <r>
    <n v="293"/>
    <s v="2024-01-22"/>
    <n v="2024"/>
    <s v="January"/>
    <x v="1"/>
    <x v="3"/>
    <x v="3"/>
    <n v="108"/>
    <n v="3.9"/>
    <n v="26352"/>
  </r>
  <r>
    <n v="251"/>
    <s v="2024-03-11"/>
    <n v="2024"/>
    <s v="March"/>
    <x v="2"/>
    <x v="5"/>
    <x v="4"/>
    <n v="128"/>
    <n v="6.2"/>
    <n v="25600"/>
  </r>
  <r>
    <n v="486"/>
    <s v="2024-05-17"/>
    <n v="2024"/>
    <s v="May"/>
    <x v="0"/>
    <x v="5"/>
    <x v="0"/>
    <n v="291"/>
    <n v="11.5"/>
    <n v="25317"/>
  </r>
  <r>
    <n v="166"/>
    <s v="2024-11-17"/>
    <n v="2024"/>
    <s v="November"/>
    <x v="5"/>
    <x v="1"/>
    <x v="1"/>
    <n v="130"/>
    <n v="6.4"/>
    <n v="24960"/>
  </r>
  <r>
    <n v="90"/>
    <s v="2024-04-03"/>
    <n v="2024"/>
    <s v="April"/>
    <x v="6"/>
    <x v="4"/>
    <x v="1"/>
    <n v="152"/>
    <n v="5.9"/>
    <n v="24776"/>
  </r>
  <r>
    <n v="218"/>
    <s v="2024-07-04"/>
    <n v="2024"/>
    <s v="July"/>
    <x v="6"/>
    <x v="4"/>
    <x v="2"/>
    <n v="230"/>
    <n v="7.8"/>
    <n v="24610"/>
  </r>
  <r>
    <n v="43"/>
    <s v="2024-05-06"/>
    <n v="2024"/>
    <s v="May"/>
    <x v="0"/>
    <x v="2"/>
    <x v="3"/>
    <n v="131"/>
    <n v="9.8000000000000007"/>
    <n v="24497"/>
  </r>
  <r>
    <n v="11"/>
    <s v="2024-12-25"/>
    <n v="2024"/>
    <s v="December"/>
    <x v="6"/>
    <x v="6"/>
    <x v="0"/>
    <n v="196"/>
    <n v="9.6999999999999993"/>
    <n v="24108"/>
  </r>
  <r>
    <n v="205"/>
    <s v="2024-11-20"/>
    <n v="2024"/>
    <s v="November"/>
    <x v="6"/>
    <x v="4"/>
    <x v="0"/>
    <n v="112"/>
    <n v="4"/>
    <n v="24080"/>
  </r>
  <r>
    <n v="493"/>
    <s v="2024-05-18"/>
    <n v="2024"/>
    <s v="May"/>
    <x v="5"/>
    <x v="6"/>
    <x v="3"/>
    <n v="209"/>
    <n v="9.3000000000000007"/>
    <n v="22990"/>
  </r>
  <r>
    <n v="474"/>
    <s v="2024-05-31"/>
    <n v="2024"/>
    <s v="May"/>
    <x v="7"/>
    <x v="4"/>
    <x v="5"/>
    <n v="161"/>
    <n v="11.6"/>
    <n v="22701"/>
  </r>
  <r>
    <n v="220"/>
    <s v="2024-03-27"/>
    <n v="2024"/>
    <s v="March"/>
    <x v="6"/>
    <x v="5"/>
    <x v="1"/>
    <n v="206"/>
    <n v="8.6"/>
    <n v="22454"/>
  </r>
  <r>
    <n v="9"/>
    <s v="2024-05-28"/>
    <n v="2024"/>
    <s v="May"/>
    <x v="3"/>
    <x v="2"/>
    <x v="0"/>
    <n v="213"/>
    <n v="12.4"/>
    <n v="22365"/>
  </r>
  <r>
    <n v="358"/>
    <s v="2024-02-27"/>
    <n v="2024"/>
    <s v="February"/>
    <x v="5"/>
    <x v="6"/>
    <x v="3"/>
    <n v="115"/>
    <n v="11.9"/>
    <n v="21505"/>
  </r>
  <r>
    <n v="85"/>
    <s v="2024-12-22"/>
    <n v="2024"/>
    <s v="December"/>
    <x v="3"/>
    <x v="4"/>
    <x v="5"/>
    <n v="90"/>
    <n v="12.4"/>
    <n v="20430"/>
  </r>
  <r>
    <n v="389"/>
    <s v="2024-11-30"/>
    <n v="2024"/>
    <s v="November"/>
    <x v="3"/>
    <x v="1"/>
    <x v="0"/>
    <n v="114"/>
    <n v="4"/>
    <n v="20178"/>
  </r>
  <r>
    <n v="89"/>
    <s v="2024-10-15"/>
    <n v="2024"/>
    <s v="October"/>
    <x v="2"/>
    <x v="5"/>
    <x v="0"/>
    <n v="105"/>
    <n v="3.9"/>
    <n v="19845"/>
  </r>
  <r>
    <n v="171"/>
    <s v="2024-07-06"/>
    <n v="2024"/>
    <s v="July"/>
    <x v="1"/>
    <x v="1"/>
    <x v="5"/>
    <n v="234"/>
    <n v="11.7"/>
    <n v="19422"/>
  </r>
  <r>
    <n v="356"/>
    <s v="2024-01-02"/>
    <n v="2024"/>
    <s v="January"/>
    <x v="3"/>
    <x v="1"/>
    <x v="0"/>
    <n v="96"/>
    <n v="13.8"/>
    <n v="19008"/>
  </r>
  <r>
    <n v="197"/>
    <s v="2024-08-30"/>
    <n v="2024"/>
    <s v="August"/>
    <x v="4"/>
    <x v="4"/>
    <x v="5"/>
    <n v="187"/>
    <n v="4"/>
    <n v="18887"/>
  </r>
  <r>
    <n v="93"/>
    <s v="2024-02-05"/>
    <n v="2024"/>
    <s v="February"/>
    <x v="6"/>
    <x v="5"/>
    <x v="5"/>
    <n v="132"/>
    <n v="11.3"/>
    <n v="18876"/>
  </r>
  <r>
    <n v="393"/>
    <s v="2024-12-02"/>
    <n v="2024"/>
    <s v="December"/>
    <x v="5"/>
    <x v="6"/>
    <x v="2"/>
    <n v="117"/>
    <n v="5"/>
    <n v="18720"/>
  </r>
  <r>
    <n v="29"/>
    <s v="2024-01-04"/>
    <n v="2024"/>
    <s v="January"/>
    <x v="6"/>
    <x v="0"/>
    <x v="5"/>
    <n v="195"/>
    <n v="10.8"/>
    <n v="18525"/>
  </r>
  <r>
    <n v="118"/>
    <s v="2024-02-28"/>
    <n v="2024"/>
    <s v="February"/>
    <x v="5"/>
    <x v="6"/>
    <x v="3"/>
    <n v="183"/>
    <n v="7.4"/>
    <n v="17934"/>
  </r>
  <r>
    <n v="302"/>
    <s v="2024-09-11"/>
    <n v="2024"/>
    <s v="September"/>
    <x v="7"/>
    <x v="6"/>
    <x v="3"/>
    <n v="97"/>
    <n v="4"/>
    <n v="17460"/>
  </r>
  <r>
    <n v="330"/>
    <s v="2024-11-26"/>
    <n v="2024"/>
    <s v="November"/>
    <x v="6"/>
    <x v="1"/>
    <x v="4"/>
    <n v="171"/>
    <n v="13"/>
    <n v="17442"/>
  </r>
  <r>
    <n v="370"/>
    <s v="2024-12-10"/>
    <n v="2024"/>
    <s v="December"/>
    <x v="6"/>
    <x v="4"/>
    <x v="3"/>
    <n v="130"/>
    <n v="12.6"/>
    <n v="16640"/>
  </r>
  <r>
    <n v="498"/>
    <s v="2024-07-28"/>
    <n v="2024"/>
    <s v="July"/>
    <x v="5"/>
    <x v="2"/>
    <x v="5"/>
    <n v="98"/>
    <n v="5.6"/>
    <n v="16464"/>
  </r>
  <r>
    <n v="40"/>
    <s v="2024-10-04"/>
    <n v="2024"/>
    <s v="October"/>
    <x v="5"/>
    <x v="1"/>
    <x v="0"/>
    <n v="174"/>
    <n v="11.2"/>
    <n v="16356"/>
  </r>
  <r>
    <n v="382"/>
    <s v="2024-04-28"/>
    <n v="2024"/>
    <s v="April"/>
    <x v="6"/>
    <x v="1"/>
    <x v="0"/>
    <n v="189"/>
    <n v="10.8"/>
    <n v="15498"/>
  </r>
  <r>
    <n v="182"/>
    <s v="2024-11-24"/>
    <n v="2024"/>
    <s v="November"/>
    <x v="6"/>
    <x v="6"/>
    <x v="2"/>
    <n v="93"/>
    <n v="3.6"/>
    <n v="15345"/>
  </r>
  <r>
    <n v="23"/>
    <s v="2024-09-07"/>
    <n v="2024"/>
    <s v="September"/>
    <x v="1"/>
    <x v="6"/>
    <x v="5"/>
    <n v="89"/>
    <n v="4.2"/>
    <n v="15308"/>
  </r>
  <r>
    <n v="314"/>
    <s v="2024-12-18"/>
    <n v="2024"/>
    <s v="December"/>
    <x v="6"/>
    <x v="3"/>
    <x v="5"/>
    <n v="104"/>
    <n v="9.6"/>
    <n v="15288"/>
  </r>
  <r>
    <n v="494"/>
    <s v="2024-09-21"/>
    <n v="2024"/>
    <s v="September"/>
    <x v="7"/>
    <x v="5"/>
    <x v="1"/>
    <n v="144"/>
    <n v="13.5"/>
    <n v="13968"/>
  </r>
  <r>
    <n v="131"/>
    <s v="2024-10-21"/>
    <n v="2024"/>
    <s v="October"/>
    <x v="5"/>
    <x v="5"/>
    <x v="3"/>
    <n v="92"/>
    <n v="14"/>
    <n v="13616"/>
  </r>
  <r>
    <n v="340"/>
    <s v="2024-10-25"/>
    <n v="2024"/>
    <s v="October"/>
    <x v="6"/>
    <x v="0"/>
    <x v="4"/>
    <n v="73"/>
    <n v="5.9"/>
    <n v="12556"/>
  </r>
  <r>
    <n v="316"/>
    <s v="2024-05-04"/>
    <n v="2024"/>
    <s v="May"/>
    <x v="6"/>
    <x v="0"/>
    <x v="0"/>
    <n v="114"/>
    <n v="9.3000000000000007"/>
    <n v="12312"/>
  </r>
  <r>
    <n v="384"/>
    <s v="2024-01-09"/>
    <n v="2024"/>
    <s v="January"/>
    <x v="5"/>
    <x v="0"/>
    <x v="2"/>
    <n v="63"/>
    <n v="8.9"/>
    <n v="11655"/>
  </r>
  <r>
    <n v="490"/>
    <s v="2024-01-02"/>
    <n v="2024"/>
    <s v="January"/>
    <x v="6"/>
    <x v="0"/>
    <x v="0"/>
    <n v="140"/>
    <n v="12.4"/>
    <n v="11620"/>
  </r>
  <r>
    <n v="66"/>
    <s v="2024-08-11"/>
    <n v="2024"/>
    <s v="August"/>
    <x v="6"/>
    <x v="2"/>
    <x v="0"/>
    <n v="53"/>
    <n v="8.6999999999999993"/>
    <n v="11501"/>
  </r>
  <r>
    <n v="186"/>
    <s v="2024-03-08"/>
    <n v="2024"/>
    <s v="March"/>
    <x v="0"/>
    <x v="0"/>
    <x v="3"/>
    <n v="80"/>
    <n v="6.9"/>
    <n v="11200"/>
  </r>
  <r>
    <n v="36"/>
    <s v="2024-10-03"/>
    <n v="2024"/>
    <s v="October"/>
    <x v="2"/>
    <x v="4"/>
    <x v="0"/>
    <n v="80"/>
    <n v="13.7"/>
    <n v="11200"/>
  </r>
  <r>
    <n v="460"/>
    <s v="2024-08-23"/>
    <n v="2024"/>
    <s v="August"/>
    <x v="7"/>
    <x v="4"/>
    <x v="5"/>
    <n v="83"/>
    <n v="4.4000000000000004"/>
    <n v="9960"/>
  </r>
  <r>
    <n v="440"/>
    <s v="2024-07-02"/>
    <n v="2024"/>
    <s v="July"/>
    <x v="3"/>
    <x v="1"/>
    <x v="2"/>
    <n v="69"/>
    <n v="8.3000000000000007"/>
    <n v="8901"/>
  </r>
  <r>
    <n v="145"/>
    <s v="2024-05-16"/>
    <n v="2024"/>
    <s v="May"/>
    <x v="7"/>
    <x v="5"/>
    <x v="3"/>
    <n v="55"/>
    <n v="6.1"/>
    <n v="8580"/>
  </r>
  <r>
    <n v="92"/>
    <s v="2024-08-28"/>
    <n v="2024"/>
    <s v="August"/>
    <x v="0"/>
    <x v="6"/>
    <x v="4"/>
    <n v="89"/>
    <n v="11.2"/>
    <n v="8277"/>
  </r>
  <r>
    <n v="390"/>
    <s v="2024-01-29"/>
    <n v="2024"/>
    <s v="January"/>
    <x v="7"/>
    <x v="5"/>
    <x v="0"/>
    <n v="69"/>
    <n v="10.7"/>
    <n v="6969"/>
  </r>
  <r>
    <n v="76"/>
    <s v="2024-03-16"/>
    <n v="2024"/>
    <s v="March"/>
    <x v="3"/>
    <x v="6"/>
    <x v="3"/>
    <n v="61"/>
    <n v="12.8"/>
    <n v="6527"/>
  </r>
  <r>
    <n v="456"/>
    <s v="2024-06-16"/>
    <n v="2024"/>
    <s v="June"/>
    <x v="7"/>
    <x v="3"/>
    <x v="4"/>
    <n v="55"/>
    <n v="12.6"/>
    <n v="56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083B2-8C54-48E2-B982-8CD2C229D089}" name="PivotTable7" cacheId="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R13:T20" firstHeaderRow="0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h="1" x="1"/>
        <item h="1" x="4"/>
        <item h="1" x="7"/>
        <item h="1" x="3"/>
        <item h="1" x="5"/>
        <item h="1" x="0"/>
        <item h="1" x="6"/>
        <item x="2"/>
        <item t="default"/>
      </items>
    </pivotField>
    <pivotField compact="0" outline="0" showAll="0">
      <items count="8">
        <item h="1" x="0"/>
        <item h="1" x="6"/>
        <item h="1" x="5"/>
        <item h="1" x="4"/>
        <item x="2"/>
        <item h="1" x="1"/>
        <item h="1" x="3"/>
        <item t="default"/>
      </items>
    </pivotField>
    <pivotField axis="axisRow" compact="0" outline="0" showAll="0">
      <items count="7">
        <item x="1"/>
        <item x="2"/>
        <item x="5"/>
        <item x="0"/>
        <item x="4"/>
        <item x="3"/>
        <item t="default"/>
      </items>
    </pivotField>
    <pivotField dataField="1" compact="0" outline="0" showAll="0"/>
    <pivotField dataField="1"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urists" fld="7" baseField="0" baseItem="0"/>
    <dataField name="Sum of Avg_Stay_Day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3522E-D54F-4CF5-AEE2-BDD91508AA7D}" name="PivotTable6" cacheId="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2:V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h="1" x="1"/>
        <item h="1" x="4"/>
        <item h="1" x="7"/>
        <item h="1" x="3"/>
        <item h="1" x="5"/>
        <item h="1" x="0"/>
        <item h="1" x="6"/>
        <item x="2"/>
        <item t="default"/>
      </items>
    </pivotField>
    <pivotField axis="axisRow" compact="0" outline="0" showAll="0">
      <items count="8">
        <item h="1" x="0"/>
        <item h="1" x="6"/>
        <item h="1" x="5"/>
        <item h="1" x="4"/>
        <item x="2"/>
        <item h="1" x="1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">
    <i>
      <x v="4"/>
    </i>
    <i t="grand">
      <x/>
    </i>
  </rowItems>
  <colItems count="1">
    <i/>
  </colItems>
  <dataFields count="1">
    <dataField name="Sum of Touris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34DEB-2A46-487D-936E-19E83B217D69}" name="PivotTable4" cacheId="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2:R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h="1" x="1"/>
        <item h="1" x="4"/>
        <item h="1" x="7"/>
        <item h="1" x="3"/>
        <item h="1" x="5"/>
        <item h="1" x="0"/>
        <item h="1" x="6"/>
        <item x="2"/>
        <item t="default"/>
      </items>
    </pivotField>
    <pivotField compact="0" outline="0" showAll="0">
      <items count="8">
        <item h="1" x="0"/>
        <item h="1" x="6"/>
        <item h="1" x="5"/>
        <item h="1" x="4"/>
        <item x="2"/>
        <item h="1" x="1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2">
    <i>
      <x v="7"/>
    </i>
    <i t="grand">
      <x/>
    </i>
  </rowItems>
  <colItems count="1">
    <i/>
  </colItems>
  <dataFields count="1">
    <dataField name="Sum of Touris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vince" xr10:uid="{A653636D-C95D-4E00-BEE8-3B5808E2A135}" sourceName="Province">
  <pivotTables>
    <pivotTable tabId="1" name="PivotTable6"/>
    <pivotTable tabId="1" name="PivotTable4"/>
    <pivotTable tabId="1" name="PivotTable7"/>
  </pivotTables>
  <data>
    <tabular pivotCacheId="1745867098">
      <items count="7">
        <i x="0"/>
        <i x="6"/>
        <i x="5"/>
        <i x="4"/>
        <i x="2" s="1"/>
        <i x="1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28500604-FE5A-4635-A0C1-3093295BE73A}" sourceName="Country">
  <pivotTables>
    <pivotTable tabId="1" name="PivotTable4"/>
    <pivotTable tabId="1" name="PivotTable6"/>
    <pivotTable tabId="1" name="PivotTable7"/>
  </pivotTables>
  <data>
    <tabular pivotCacheId="1745867098">
      <items count="8">
        <i x="1"/>
        <i x="4"/>
        <i x="7"/>
        <i x="3"/>
        <i x="5"/>
        <i x="0"/>
        <i x="6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" xr10:uid="{481C735A-7C62-44A0-8FF7-795AA85F6CF3}" cache="Slicer_Province" caption="Province" style="SlicerStyleLight4" rowHeight="228600"/>
  <slicer name="Country" xr10:uid="{3B77086A-8A1B-412E-B837-C6F263C35D58}" cache="Slicer_Country" caption="Country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C6B45-567A-4B22-8A02-2643FC1D7C1F}" name="Table1" displayName="Table1" ref="A1:J501" insertRowShift="1" totalsRowShown="0">
  <autoFilter ref="A1:J501" xr:uid="{26CC6B45-567A-4B22-8A02-2643FC1D7C1F}"/>
  <tableColumns count="10">
    <tableColumn id="1" xr3:uid="{63581696-5F5D-44FD-B651-824D4F6E836F}" name="Record_ID"/>
    <tableColumn id="2" xr3:uid="{3A238F1B-47E7-48D3-BACE-1638E887DEB7}" name="Date"/>
    <tableColumn id="3" xr3:uid="{5B856092-98E9-4C1B-A678-4AA497892F3A}" name="Year"/>
    <tableColumn id="4" xr3:uid="{E746BF6B-A363-4B7D-AA30-C5BD13447D64}" name="Month"/>
    <tableColumn id="5" xr3:uid="{E78AE169-2A0F-4569-8202-8209B32D2EA1}" name="Country"/>
    <tableColumn id="6" xr3:uid="{F82B0272-8511-44F3-A43B-E43368897EFD}" name="Province"/>
    <tableColumn id="7" xr3:uid="{E2700412-4751-4C6D-A42E-838E039467C6}" name="Destination"/>
    <tableColumn id="8" xr3:uid="{E60ED7BD-66E5-4DF7-86AC-E31BF2971D7D}" name="Tourists" dataDxfId="0"/>
    <tableColumn id="9" xr3:uid="{BA999C08-FC9C-495D-8639-C3FFD494A92D}" name="Avg_Stay_Days"/>
    <tableColumn id="10" xr3:uid="{7C46A5E8-0C7C-4282-A0D9-7627D8F5910E}" name="Revenue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activeCell="L23" sqref="L23"/>
    </sheetView>
  </sheetViews>
  <sheetFormatPr defaultRowHeight="15"/>
  <cols>
    <col min="1" max="1" width="12.42578125" bestFit="1" customWidth="1"/>
    <col min="5" max="5" width="10.28515625" bestFit="1" customWidth="1"/>
    <col min="6" max="6" width="10.85546875" bestFit="1" customWidth="1"/>
    <col min="7" max="7" width="13.42578125" bestFit="1" customWidth="1"/>
    <col min="8" max="8" width="10.5703125" style="4" bestFit="1" customWidth="1"/>
    <col min="9" max="9" width="16.7109375" bestFit="1" customWidth="1"/>
    <col min="10" max="10" width="15.7109375" bestFit="1" customWidth="1"/>
    <col min="11" max="11" width="11.140625" bestFit="1" customWidth="1"/>
    <col min="12" max="12" width="15.42578125" bestFit="1" customWidth="1"/>
    <col min="13" max="13" width="13.28515625" customWidth="1"/>
    <col min="17" max="17" width="11.42578125" bestFit="1" customWidth="1"/>
    <col min="18" max="18" width="14.28515625" bestFit="1" customWidth="1"/>
    <col min="19" max="19" width="14.7109375" bestFit="1" customWidth="1"/>
    <col min="20" max="20" width="21.140625" bestFit="1" customWidth="1"/>
    <col min="21" max="21" width="11.7109375" bestFit="1" customWidth="1"/>
    <col min="22" max="22" width="14.7109375" bestFit="1" customWidth="1"/>
  </cols>
  <sheetData>
    <row r="1" spans="1:22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M1" s="1" t="s">
        <v>6</v>
      </c>
    </row>
    <row r="2" spans="1:22">
      <c r="A2">
        <v>180</v>
      </c>
      <c r="B2" t="s">
        <v>10</v>
      </c>
      <c r="C2">
        <v>2024</v>
      </c>
      <c r="D2" t="s">
        <v>11</v>
      </c>
      <c r="E2" t="s">
        <v>12</v>
      </c>
      <c r="F2" t="s">
        <v>13</v>
      </c>
      <c r="G2" t="s">
        <v>14</v>
      </c>
      <c r="H2" s="4">
        <v>1165</v>
      </c>
      <c r="I2">
        <v>12.9</v>
      </c>
      <c r="J2">
        <v>285425</v>
      </c>
      <c r="L2">
        <f>SUMIFS(J:J,G:G,M2)</f>
        <v>8685140</v>
      </c>
      <c r="M2" s="2" t="s">
        <v>15</v>
      </c>
      <c r="O2" t="str" cm="1">
        <f t="array" ref="O2">_xlfn.IFS(H2=MAX($H$2:$H$21), "Highest", H2=MIN($H$2:$H$21), "Lowest", TRUE, "")</f>
        <v/>
      </c>
      <c r="Q2" s="6" t="s">
        <v>4</v>
      </c>
      <c r="R2" t="s">
        <v>16</v>
      </c>
      <c r="T2" t="s">
        <v>17</v>
      </c>
      <c r="U2" s="6" t="s">
        <v>5</v>
      </c>
      <c r="V2" t="s">
        <v>16</v>
      </c>
    </row>
    <row r="3" spans="1:22">
      <c r="A3">
        <v>320</v>
      </c>
      <c r="B3" t="s">
        <v>18</v>
      </c>
      <c r="C3">
        <v>2024</v>
      </c>
      <c r="D3" t="s">
        <v>19</v>
      </c>
      <c r="E3" t="s">
        <v>20</v>
      </c>
      <c r="F3" t="s">
        <v>21</v>
      </c>
      <c r="G3" t="s">
        <v>14</v>
      </c>
      <c r="H3" s="4">
        <v>1168</v>
      </c>
      <c r="I3">
        <v>6.9</v>
      </c>
      <c r="J3">
        <v>284992</v>
      </c>
      <c r="L3">
        <f>SUMIFS(J:J,G:G,M3)</f>
        <v>8211454</v>
      </c>
      <c r="M3" s="3" t="s">
        <v>22</v>
      </c>
      <c r="Q3" t="s">
        <v>23</v>
      </c>
      <c r="R3" s="4">
        <v>7060</v>
      </c>
      <c r="U3" t="s">
        <v>14</v>
      </c>
      <c r="V3" s="4">
        <v>7060</v>
      </c>
    </row>
    <row r="4" spans="1:22">
      <c r="A4">
        <v>19</v>
      </c>
      <c r="B4" t="s">
        <v>24</v>
      </c>
      <c r="C4">
        <v>2024</v>
      </c>
      <c r="D4" t="s">
        <v>25</v>
      </c>
      <c r="E4" t="s">
        <v>12</v>
      </c>
      <c r="F4" t="s">
        <v>13</v>
      </c>
      <c r="G4" t="s">
        <v>26</v>
      </c>
      <c r="H4" s="4">
        <v>1149</v>
      </c>
      <c r="I4">
        <v>11.3</v>
      </c>
      <c r="J4">
        <v>280356</v>
      </c>
      <c r="L4">
        <f>SUMIFS(J:J,G:G,M4)</f>
        <v>10913491</v>
      </c>
      <c r="M4" s="2" t="s">
        <v>27</v>
      </c>
      <c r="Q4" t="s">
        <v>28</v>
      </c>
      <c r="R4" s="4">
        <v>7060</v>
      </c>
      <c r="U4" t="s">
        <v>28</v>
      </c>
      <c r="V4" s="4">
        <v>7060</v>
      </c>
    </row>
    <row r="5" spans="1:22">
      <c r="A5">
        <v>291</v>
      </c>
      <c r="B5" t="s">
        <v>29</v>
      </c>
      <c r="C5">
        <v>2024</v>
      </c>
      <c r="D5" t="s">
        <v>19</v>
      </c>
      <c r="E5" t="s">
        <v>23</v>
      </c>
      <c r="F5" t="s">
        <v>21</v>
      </c>
      <c r="G5" t="s">
        <v>30</v>
      </c>
      <c r="H5" s="4">
        <v>1142</v>
      </c>
      <c r="I5">
        <v>4</v>
      </c>
      <c r="J5">
        <v>278648</v>
      </c>
      <c r="L5">
        <f>SUMIFS(J:J,G:G,M5)</f>
        <v>7548915</v>
      </c>
      <c r="M5" s="2" t="s">
        <v>26</v>
      </c>
    </row>
    <row r="6" spans="1:22">
      <c r="A6">
        <v>253</v>
      </c>
      <c r="B6" t="s">
        <v>31</v>
      </c>
      <c r="C6">
        <v>2024</v>
      </c>
      <c r="D6" t="s">
        <v>32</v>
      </c>
      <c r="E6" t="s">
        <v>33</v>
      </c>
      <c r="F6" t="s">
        <v>13</v>
      </c>
      <c r="G6" t="s">
        <v>26</v>
      </c>
      <c r="H6" s="4">
        <v>1173</v>
      </c>
      <c r="I6">
        <v>13.3</v>
      </c>
      <c r="J6">
        <v>275655</v>
      </c>
      <c r="L6">
        <f>SUMIFS(J:J,G:G,M6)</f>
        <v>10257580</v>
      </c>
      <c r="M6" s="2" t="s">
        <v>14</v>
      </c>
    </row>
    <row r="7" spans="1:22">
      <c r="A7">
        <v>444</v>
      </c>
      <c r="B7" t="s">
        <v>34</v>
      </c>
      <c r="C7">
        <v>2024</v>
      </c>
      <c r="D7" t="s">
        <v>35</v>
      </c>
      <c r="E7" t="s">
        <v>36</v>
      </c>
      <c r="F7" t="s">
        <v>14</v>
      </c>
      <c r="G7" t="s">
        <v>30</v>
      </c>
      <c r="H7" s="4">
        <v>1175</v>
      </c>
      <c r="I7">
        <v>8.6</v>
      </c>
      <c r="J7">
        <v>265550</v>
      </c>
      <c r="L7">
        <f>SUMIFS(J:J,G:G,M7)</f>
        <v>7871639</v>
      </c>
      <c r="M7" s="2" t="s">
        <v>30</v>
      </c>
    </row>
    <row r="8" spans="1:22">
      <c r="A8">
        <v>306</v>
      </c>
      <c r="B8" t="s">
        <v>37</v>
      </c>
      <c r="C8">
        <v>2024</v>
      </c>
      <c r="D8" t="s">
        <v>38</v>
      </c>
      <c r="E8" t="s">
        <v>20</v>
      </c>
      <c r="F8" t="s">
        <v>13</v>
      </c>
      <c r="G8" t="s">
        <v>14</v>
      </c>
      <c r="H8" s="4">
        <v>1200</v>
      </c>
      <c r="I8">
        <v>5.0999999999999996</v>
      </c>
      <c r="J8">
        <v>265200</v>
      </c>
    </row>
    <row r="9" spans="1:22">
      <c r="A9">
        <v>414</v>
      </c>
      <c r="B9" t="s">
        <v>39</v>
      </c>
      <c r="C9">
        <v>2024</v>
      </c>
      <c r="D9" t="s">
        <v>40</v>
      </c>
      <c r="E9" t="s">
        <v>41</v>
      </c>
      <c r="F9" t="s">
        <v>42</v>
      </c>
      <c r="G9" t="s">
        <v>14</v>
      </c>
      <c r="H9" s="4">
        <v>1167</v>
      </c>
      <c r="I9">
        <v>5</v>
      </c>
      <c r="J9">
        <v>256740</v>
      </c>
    </row>
    <row r="10" spans="1:22">
      <c r="A10">
        <v>487</v>
      </c>
      <c r="B10" t="s">
        <v>43</v>
      </c>
      <c r="C10">
        <v>2024</v>
      </c>
      <c r="D10" t="s">
        <v>44</v>
      </c>
      <c r="E10" t="s">
        <v>36</v>
      </c>
      <c r="F10" t="s">
        <v>45</v>
      </c>
      <c r="G10" t="s">
        <v>14</v>
      </c>
      <c r="H10" s="4">
        <v>1122</v>
      </c>
      <c r="I10">
        <v>3.7</v>
      </c>
      <c r="J10">
        <v>254694</v>
      </c>
    </row>
    <row r="11" spans="1:22">
      <c r="A11">
        <v>437</v>
      </c>
      <c r="B11" t="s">
        <v>46</v>
      </c>
      <c r="C11">
        <v>2024</v>
      </c>
      <c r="D11" t="s">
        <v>32</v>
      </c>
      <c r="E11" t="s">
        <v>23</v>
      </c>
      <c r="F11" t="s">
        <v>21</v>
      </c>
      <c r="G11" t="s">
        <v>14</v>
      </c>
      <c r="H11" s="4">
        <v>1096</v>
      </c>
      <c r="I11">
        <v>7.3</v>
      </c>
      <c r="J11">
        <v>254272</v>
      </c>
      <c r="L11" s="7"/>
    </row>
    <row r="12" spans="1:22">
      <c r="A12">
        <v>344</v>
      </c>
      <c r="B12" t="s">
        <v>47</v>
      </c>
      <c r="C12">
        <v>2024</v>
      </c>
      <c r="D12" t="s">
        <v>38</v>
      </c>
      <c r="E12" t="s">
        <v>48</v>
      </c>
      <c r="F12" t="s">
        <v>49</v>
      </c>
      <c r="G12" t="s">
        <v>15</v>
      </c>
      <c r="H12" s="4">
        <v>1014</v>
      </c>
      <c r="I12">
        <v>11.3</v>
      </c>
      <c r="J12">
        <v>253500</v>
      </c>
    </row>
    <row r="13" spans="1:22">
      <c r="A13">
        <v>315</v>
      </c>
      <c r="B13" t="s">
        <v>50</v>
      </c>
      <c r="C13">
        <v>2024</v>
      </c>
      <c r="D13" t="s">
        <v>38</v>
      </c>
      <c r="E13" t="s">
        <v>33</v>
      </c>
      <c r="F13" t="s">
        <v>51</v>
      </c>
      <c r="G13" t="s">
        <v>27</v>
      </c>
      <c r="H13" s="4">
        <v>1033</v>
      </c>
      <c r="I13">
        <v>4.9000000000000004</v>
      </c>
      <c r="J13">
        <v>248953</v>
      </c>
      <c r="R13" s="6" t="s">
        <v>6</v>
      </c>
      <c r="S13" t="s">
        <v>16</v>
      </c>
      <c r="T13" t="s">
        <v>52</v>
      </c>
    </row>
    <row r="14" spans="1:22">
      <c r="A14">
        <v>22</v>
      </c>
      <c r="B14" t="s">
        <v>53</v>
      </c>
      <c r="C14">
        <v>2024</v>
      </c>
      <c r="D14" t="s">
        <v>32</v>
      </c>
      <c r="E14" t="s">
        <v>41</v>
      </c>
      <c r="F14" t="s">
        <v>21</v>
      </c>
      <c r="G14" t="s">
        <v>26</v>
      </c>
      <c r="H14" s="4">
        <v>1154</v>
      </c>
      <c r="I14">
        <v>13.5</v>
      </c>
      <c r="J14">
        <v>248110</v>
      </c>
      <c r="R14" t="s">
        <v>26</v>
      </c>
      <c r="S14" s="4">
        <v>615</v>
      </c>
      <c r="T14" s="4">
        <v>18.5</v>
      </c>
    </row>
    <row r="15" spans="1:22">
      <c r="A15">
        <v>77</v>
      </c>
      <c r="B15" t="s">
        <v>54</v>
      </c>
      <c r="C15">
        <v>2024</v>
      </c>
      <c r="D15" t="s">
        <v>55</v>
      </c>
      <c r="E15" t="s">
        <v>48</v>
      </c>
      <c r="F15" t="s">
        <v>49</v>
      </c>
      <c r="G15" t="s">
        <v>22</v>
      </c>
      <c r="H15" s="4">
        <v>1110</v>
      </c>
      <c r="I15">
        <v>8.1</v>
      </c>
      <c r="J15">
        <v>246420</v>
      </c>
      <c r="R15" t="s">
        <v>30</v>
      </c>
      <c r="S15" s="4">
        <v>1332</v>
      </c>
      <c r="T15" s="4">
        <v>19</v>
      </c>
    </row>
    <row r="16" spans="1:22">
      <c r="A16">
        <v>287</v>
      </c>
      <c r="B16" t="s">
        <v>56</v>
      </c>
      <c r="C16">
        <v>2024</v>
      </c>
      <c r="D16" t="s">
        <v>55</v>
      </c>
      <c r="E16" t="s">
        <v>23</v>
      </c>
      <c r="F16" t="s">
        <v>49</v>
      </c>
      <c r="G16" t="s">
        <v>15</v>
      </c>
      <c r="H16" s="4">
        <v>1109</v>
      </c>
      <c r="I16">
        <v>6.8</v>
      </c>
      <c r="J16">
        <v>245089</v>
      </c>
      <c r="R16" t="s">
        <v>22</v>
      </c>
      <c r="S16" s="4">
        <v>998</v>
      </c>
      <c r="T16" s="4">
        <v>11.5</v>
      </c>
    </row>
    <row r="17" spans="1:20">
      <c r="A17">
        <v>312</v>
      </c>
      <c r="B17" t="s">
        <v>57</v>
      </c>
      <c r="C17">
        <v>2024</v>
      </c>
      <c r="D17" t="s">
        <v>35</v>
      </c>
      <c r="E17" t="s">
        <v>20</v>
      </c>
      <c r="F17" t="s">
        <v>45</v>
      </c>
      <c r="G17" t="s">
        <v>22</v>
      </c>
      <c r="H17" s="4">
        <v>1093</v>
      </c>
      <c r="I17">
        <v>8.9</v>
      </c>
      <c r="J17">
        <v>244832</v>
      </c>
      <c r="R17" t="s">
        <v>14</v>
      </c>
      <c r="S17" s="4">
        <v>1148</v>
      </c>
      <c r="T17" s="4">
        <v>7.9</v>
      </c>
    </row>
    <row r="18" spans="1:20">
      <c r="A18">
        <v>372</v>
      </c>
      <c r="B18" t="s">
        <v>58</v>
      </c>
      <c r="C18">
        <v>2024</v>
      </c>
      <c r="D18" t="s">
        <v>32</v>
      </c>
      <c r="E18" t="s">
        <v>48</v>
      </c>
      <c r="F18" t="s">
        <v>45</v>
      </c>
      <c r="G18" t="s">
        <v>15</v>
      </c>
      <c r="H18" s="4">
        <v>1030</v>
      </c>
      <c r="I18">
        <v>13.1</v>
      </c>
      <c r="J18">
        <v>241020</v>
      </c>
      <c r="R18" t="s">
        <v>27</v>
      </c>
      <c r="S18" s="4">
        <v>1059</v>
      </c>
      <c r="T18" s="4">
        <v>14.5</v>
      </c>
    </row>
    <row r="19" spans="1:20">
      <c r="A19">
        <v>41</v>
      </c>
      <c r="B19" t="s">
        <v>59</v>
      </c>
      <c r="C19">
        <v>2024</v>
      </c>
      <c r="D19" t="s">
        <v>35</v>
      </c>
      <c r="E19" t="s">
        <v>36</v>
      </c>
      <c r="F19" t="s">
        <v>49</v>
      </c>
      <c r="G19" t="s">
        <v>15</v>
      </c>
      <c r="H19" s="4">
        <v>1137</v>
      </c>
      <c r="I19">
        <v>4.7</v>
      </c>
      <c r="J19">
        <v>238770</v>
      </c>
      <c r="R19" t="s">
        <v>15</v>
      </c>
      <c r="S19" s="4">
        <v>1908</v>
      </c>
      <c r="T19" s="4">
        <v>12.299999999999999</v>
      </c>
    </row>
    <row r="20" spans="1:20">
      <c r="A20">
        <v>79</v>
      </c>
      <c r="B20" t="s">
        <v>60</v>
      </c>
      <c r="C20">
        <v>2024</v>
      </c>
      <c r="D20" t="s">
        <v>61</v>
      </c>
      <c r="E20" t="s">
        <v>62</v>
      </c>
      <c r="F20" t="s">
        <v>51</v>
      </c>
      <c r="G20" t="s">
        <v>27</v>
      </c>
      <c r="H20" s="4">
        <v>1083</v>
      </c>
      <c r="I20">
        <v>7.7</v>
      </c>
      <c r="J20">
        <v>238260</v>
      </c>
      <c r="R20" t="s">
        <v>28</v>
      </c>
      <c r="S20" s="4">
        <v>7060</v>
      </c>
      <c r="T20" s="4">
        <v>83.7</v>
      </c>
    </row>
    <row r="21" spans="1:20">
      <c r="A21">
        <v>258</v>
      </c>
      <c r="B21" t="s">
        <v>63</v>
      </c>
      <c r="C21">
        <v>2024</v>
      </c>
      <c r="D21" t="s">
        <v>25</v>
      </c>
      <c r="E21" t="s">
        <v>41</v>
      </c>
      <c r="F21" t="s">
        <v>45</v>
      </c>
      <c r="G21" t="s">
        <v>14</v>
      </c>
      <c r="H21" s="4">
        <v>1127</v>
      </c>
      <c r="I21">
        <v>9</v>
      </c>
      <c r="J21">
        <v>235543</v>
      </c>
    </row>
    <row r="22" spans="1:20">
      <c r="A22">
        <v>239</v>
      </c>
      <c r="B22" t="s">
        <v>64</v>
      </c>
      <c r="C22">
        <v>2024</v>
      </c>
      <c r="D22" t="s">
        <v>25</v>
      </c>
      <c r="E22" t="s">
        <v>41</v>
      </c>
      <c r="F22" t="s">
        <v>42</v>
      </c>
      <c r="G22" t="s">
        <v>26</v>
      </c>
      <c r="H22" s="4">
        <v>1089</v>
      </c>
      <c r="I22">
        <v>11.5</v>
      </c>
      <c r="J22">
        <v>233046</v>
      </c>
    </row>
    <row r="23" spans="1:20">
      <c r="A23">
        <v>102</v>
      </c>
      <c r="B23" t="s">
        <v>65</v>
      </c>
      <c r="C23">
        <v>2024</v>
      </c>
      <c r="D23" t="s">
        <v>35</v>
      </c>
      <c r="E23" t="s">
        <v>20</v>
      </c>
      <c r="F23" t="s">
        <v>14</v>
      </c>
      <c r="G23" t="s">
        <v>15</v>
      </c>
      <c r="H23" s="4">
        <v>1002</v>
      </c>
      <c r="I23">
        <v>7.8</v>
      </c>
      <c r="J23">
        <v>231462</v>
      </c>
    </row>
    <row r="24" spans="1:20">
      <c r="A24">
        <v>343</v>
      </c>
      <c r="B24" t="s">
        <v>66</v>
      </c>
      <c r="C24">
        <v>2024</v>
      </c>
      <c r="D24" t="s">
        <v>32</v>
      </c>
      <c r="E24" t="s">
        <v>12</v>
      </c>
      <c r="F24" t="s">
        <v>45</v>
      </c>
      <c r="G24" t="s">
        <v>27</v>
      </c>
      <c r="H24" s="4">
        <v>981</v>
      </c>
      <c r="I24">
        <v>11.2</v>
      </c>
      <c r="J24">
        <v>230535</v>
      </c>
    </row>
    <row r="25" spans="1:20">
      <c r="A25">
        <v>423</v>
      </c>
      <c r="B25" t="s">
        <v>67</v>
      </c>
      <c r="C25">
        <v>2024</v>
      </c>
      <c r="D25" t="s">
        <v>11</v>
      </c>
      <c r="E25" t="s">
        <v>23</v>
      </c>
      <c r="F25" t="s">
        <v>14</v>
      </c>
      <c r="G25" t="s">
        <v>22</v>
      </c>
      <c r="H25" s="4">
        <v>998</v>
      </c>
      <c r="I25">
        <v>11.5</v>
      </c>
      <c r="J25">
        <v>229540</v>
      </c>
    </row>
    <row r="26" spans="1:20">
      <c r="A26">
        <v>380</v>
      </c>
      <c r="B26" t="s">
        <v>68</v>
      </c>
      <c r="C26">
        <v>2024</v>
      </c>
      <c r="D26" t="s">
        <v>38</v>
      </c>
      <c r="E26" t="s">
        <v>41</v>
      </c>
      <c r="F26" t="s">
        <v>21</v>
      </c>
      <c r="G26" t="s">
        <v>22</v>
      </c>
      <c r="H26" s="4">
        <v>1050</v>
      </c>
      <c r="I26">
        <v>5</v>
      </c>
      <c r="J26">
        <v>228900</v>
      </c>
    </row>
    <row r="27" spans="1:20">
      <c r="A27">
        <v>223</v>
      </c>
      <c r="B27" t="s">
        <v>69</v>
      </c>
      <c r="C27">
        <v>2024</v>
      </c>
      <c r="D27" t="s">
        <v>35</v>
      </c>
      <c r="E27" t="s">
        <v>62</v>
      </c>
      <c r="F27" t="s">
        <v>42</v>
      </c>
      <c r="G27" t="s">
        <v>30</v>
      </c>
      <c r="H27" s="4">
        <v>1000</v>
      </c>
      <c r="I27">
        <v>11.3</v>
      </c>
      <c r="J27">
        <v>228000</v>
      </c>
    </row>
    <row r="28" spans="1:20">
      <c r="A28">
        <v>4</v>
      </c>
      <c r="B28" t="s">
        <v>70</v>
      </c>
      <c r="C28">
        <v>2024</v>
      </c>
      <c r="D28" t="s">
        <v>55</v>
      </c>
      <c r="E28" t="s">
        <v>20</v>
      </c>
      <c r="F28" t="s">
        <v>49</v>
      </c>
      <c r="G28" t="s">
        <v>22</v>
      </c>
      <c r="H28" s="4">
        <v>1166</v>
      </c>
      <c r="I28">
        <v>7.6</v>
      </c>
      <c r="J28">
        <v>226204</v>
      </c>
    </row>
    <row r="29" spans="1:20">
      <c r="A29">
        <v>325</v>
      </c>
      <c r="B29" t="s">
        <v>71</v>
      </c>
      <c r="C29">
        <v>2024</v>
      </c>
      <c r="D29" t="s">
        <v>44</v>
      </c>
      <c r="E29" t="s">
        <v>20</v>
      </c>
      <c r="F29" t="s">
        <v>21</v>
      </c>
      <c r="G29" t="s">
        <v>27</v>
      </c>
      <c r="H29" s="4">
        <v>1031</v>
      </c>
      <c r="I29">
        <v>5.4</v>
      </c>
      <c r="J29">
        <v>223727</v>
      </c>
    </row>
    <row r="30" spans="1:20">
      <c r="A30">
        <v>18</v>
      </c>
      <c r="B30" t="s">
        <v>72</v>
      </c>
      <c r="C30">
        <v>2024</v>
      </c>
      <c r="D30" t="s">
        <v>61</v>
      </c>
      <c r="E30" t="s">
        <v>41</v>
      </c>
      <c r="F30" t="s">
        <v>42</v>
      </c>
      <c r="G30" t="s">
        <v>27</v>
      </c>
      <c r="H30" s="4">
        <v>1008</v>
      </c>
      <c r="I30">
        <v>8.8000000000000007</v>
      </c>
      <c r="J30">
        <v>222768</v>
      </c>
    </row>
    <row r="31" spans="1:20">
      <c r="A31">
        <v>284</v>
      </c>
      <c r="B31" t="s">
        <v>10</v>
      </c>
      <c r="C31">
        <v>2024</v>
      </c>
      <c r="D31" t="s">
        <v>11</v>
      </c>
      <c r="E31" t="s">
        <v>23</v>
      </c>
      <c r="F31" t="s">
        <v>21</v>
      </c>
      <c r="G31" t="s">
        <v>22</v>
      </c>
      <c r="H31" s="4">
        <v>1007</v>
      </c>
      <c r="I31">
        <v>11.8</v>
      </c>
      <c r="J31">
        <v>222547</v>
      </c>
    </row>
    <row r="32" spans="1:20">
      <c r="A32">
        <v>483</v>
      </c>
      <c r="B32" t="s">
        <v>73</v>
      </c>
      <c r="C32">
        <v>2024</v>
      </c>
      <c r="D32" t="s">
        <v>25</v>
      </c>
      <c r="E32" t="s">
        <v>41</v>
      </c>
      <c r="F32" t="s">
        <v>14</v>
      </c>
      <c r="G32" t="s">
        <v>27</v>
      </c>
      <c r="H32" s="4">
        <v>939</v>
      </c>
      <c r="I32">
        <v>4.3</v>
      </c>
      <c r="J32">
        <v>221604</v>
      </c>
    </row>
    <row r="33" spans="1:10">
      <c r="A33">
        <v>430</v>
      </c>
      <c r="B33" t="s">
        <v>74</v>
      </c>
      <c r="C33">
        <v>2024</v>
      </c>
      <c r="D33" t="s">
        <v>55</v>
      </c>
      <c r="E33" t="s">
        <v>48</v>
      </c>
      <c r="F33" t="s">
        <v>45</v>
      </c>
      <c r="G33" t="s">
        <v>30</v>
      </c>
      <c r="H33" s="4">
        <v>935</v>
      </c>
      <c r="I33">
        <v>7.4</v>
      </c>
      <c r="J33">
        <v>221595</v>
      </c>
    </row>
    <row r="34" spans="1:10">
      <c r="A34">
        <v>121</v>
      </c>
      <c r="B34" t="s">
        <v>75</v>
      </c>
      <c r="C34">
        <v>2024</v>
      </c>
      <c r="D34" t="s">
        <v>38</v>
      </c>
      <c r="E34" t="s">
        <v>41</v>
      </c>
      <c r="F34" t="s">
        <v>21</v>
      </c>
      <c r="G34" t="s">
        <v>27</v>
      </c>
      <c r="H34" s="4">
        <v>928</v>
      </c>
      <c r="I34">
        <v>6.4</v>
      </c>
      <c r="J34">
        <v>220864</v>
      </c>
    </row>
    <row r="35" spans="1:10">
      <c r="A35">
        <v>348</v>
      </c>
      <c r="B35" t="s">
        <v>76</v>
      </c>
      <c r="C35">
        <v>2024</v>
      </c>
      <c r="D35" t="s">
        <v>40</v>
      </c>
      <c r="E35" t="s">
        <v>62</v>
      </c>
      <c r="F35" t="s">
        <v>49</v>
      </c>
      <c r="G35" t="s">
        <v>22</v>
      </c>
      <c r="H35" s="4">
        <v>1051</v>
      </c>
      <c r="I35">
        <v>4</v>
      </c>
      <c r="J35">
        <v>220710</v>
      </c>
    </row>
    <row r="36" spans="1:10">
      <c r="A36">
        <v>2</v>
      </c>
      <c r="B36" t="s">
        <v>77</v>
      </c>
      <c r="C36">
        <v>2024</v>
      </c>
      <c r="D36" t="s">
        <v>25</v>
      </c>
      <c r="E36" t="s">
        <v>41</v>
      </c>
      <c r="F36" t="s">
        <v>13</v>
      </c>
      <c r="G36" t="s">
        <v>22</v>
      </c>
      <c r="H36" s="4">
        <v>1166</v>
      </c>
      <c r="I36">
        <v>4</v>
      </c>
      <c r="J36">
        <v>219208</v>
      </c>
    </row>
    <row r="37" spans="1:10">
      <c r="A37">
        <v>441</v>
      </c>
      <c r="B37" t="s">
        <v>78</v>
      </c>
      <c r="C37">
        <v>2024</v>
      </c>
      <c r="D37" t="s">
        <v>61</v>
      </c>
      <c r="E37" t="s">
        <v>33</v>
      </c>
      <c r="F37" t="s">
        <v>42</v>
      </c>
      <c r="G37" t="s">
        <v>14</v>
      </c>
      <c r="H37" s="4">
        <v>1063</v>
      </c>
      <c r="I37">
        <v>7.5</v>
      </c>
      <c r="J37">
        <v>217915</v>
      </c>
    </row>
    <row r="38" spans="1:10">
      <c r="A38">
        <v>34</v>
      </c>
      <c r="B38" t="s">
        <v>79</v>
      </c>
      <c r="C38">
        <v>2024</v>
      </c>
      <c r="D38" t="s">
        <v>40</v>
      </c>
      <c r="E38" t="s">
        <v>23</v>
      </c>
      <c r="F38" t="s">
        <v>14</v>
      </c>
      <c r="G38" t="s">
        <v>14</v>
      </c>
      <c r="H38" s="4">
        <v>1148</v>
      </c>
      <c r="I38">
        <v>7.9</v>
      </c>
      <c r="J38">
        <v>215824</v>
      </c>
    </row>
    <row r="39" spans="1:10">
      <c r="A39">
        <v>226</v>
      </c>
      <c r="B39" t="s">
        <v>80</v>
      </c>
      <c r="C39">
        <v>2024</v>
      </c>
      <c r="D39" t="s">
        <v>19</v>
      </c>
      <c r="E39" t="s">
        <v>62</v>
      </c>
      <c r="F39" t="s">
        <v>13</v>
      </c>
      <c r="G39" t="s">
        <v>22</v>
      </c>
      <c r="H39" s="4">
        <v>1089</v>
      </c>
      <c r="I39">
        <v>3.8</v>
      </c>
      <c r="J39">
        <v>215622</v>
      </c>
    </row>
    <row r="40" spans="1:10">
      <c r="A40">
        <v>133</v>
      </c>
      <c r="B40" t="s">
        <v>81</v>
      </c>
      <c r="C40">
        <v>2024</v>
      </c>
      <c r="D40" t="s">
        <v>61</v>
      </c>
      <c r="E40" t="s">
        <v>12</v>
      </c>
      <c r="F40" t="s">
        <v>45</v>
      </c>
      <c r="G40" t="s">
        <v>26</v>
      </c>
      <c r="H40" s="4">
        <v>1057</v>
      </c>
      <c r="I40">
        <v>13.7</v>
      </c>
      <c r="J40">
        <v>211400</v>
      </c>
    </row>
    <row r="41" spans="1:10">
      <c r="A41">
        <v>403</v>
      </c>
      <c r="B41" t="s">
        <v>82</v>
      </c>
      <c r="C41">
        <v>2024</v>
      </c>
      <c r="D41" t="s">
        <v>40</v>
      </c>
      <c r="E41" t="s">
        <v>33</v>
      </c>
      <c r="F41" t="s">
        <v>13</v>
      </c>
      <c r="G41" t="s">
        <v>22</v>
      </c>
      <c r="H41" s="4">
        <v>932</v>
      </c>
      <c r="I41">
        <v>7.9</v>
      </c>
      <c r="J41">
        <v>206904</v>
      </c>
    </row>
    <row r="42" spans="1:10">
      <c r="A42">
        <v>232</v>
      </c>
      <c r="B42" t="s">
        <v>83</v>
      </c>
      <c r="C42">
        <v>2024</v>
      </c>
      <c r="D42" t="s">
        <v>11</v>
      </c>
      <c r="E42" t="s">
        <v>41</v>
      </c>
      <c r="F42" t="s">
        <v>49</v>
      </c>
      <c r="G42" t="s">
        <v>27</v>
      </c>
      <c r="H42" s="4">
        <v>887</v>
      </c>
      <c r="I42">
        <v>11.5</v>
      </c>
      <c r="J42">
        <v>206671</v>
      </c>
    </row>
    <row r="43" spans="1:10">
      <c r="A43">
        <v>148</v>
      </c>
      <c r="B43" t="s">
        <v>84</v>
      </c>
      <c r="C43">
        <v>2024</v>
      </c>
      <c r="D43" t="s">
        <v>85</v>
      </c>
      <c r="E43" t="s">
        <v>23</v>
      </c>
      <c r="F43" t="s">
        <v>45</v>
      </c>
      <c r="G43" t="s">
        <v>22</v>
      </c>
      <c r="H43" s="4">
        <v>830</v>
      </c>
      <c r="I43">
        <v>7.2</v>
      </c>
      <c r="J43">
        <v>206670</v>
      </c>
    </row>
    <row r="44" spans="1:10">
      <c r="A44">
        <v>129</v>
      </c>
      <c r="B44" t="s">
        <v>43</v>
      </c>
      <c r="C44">
        <v>2024</v>
      </c>
      <c r="D44" t="s">
        <v>44</v>
      </c>
      <c r="E44" t="s">
        <v>36</v>
      </c>
      <c r="F44" t="s">
        <v>21</v>
      </c>
      <c r="G44" t="s">
        <v>22</v>
      </c>
      <c r="H44" s="4">
        <v>1074</v>
      </c>
      <c r="I44">
        <v>8.9</v>
      </c>
      <c r="J44">
        <v>206208</v>
      </c>
    </row>
    <row r="45" spans="1:10">
      <c r="A45">
        <v>31</v>
      </c>
      <c r="B45" t="s">
        <v>86</v>
      </c>
      <c r="C45">
        <v>2024</v>
      </c>
      <c r="D45" t="s">
        <v>32</v>
      </c>
      <c r="E45" t="s">
        <v>33</v>
      </c>
      <c r="F45" t="s">
        <v>51</v>
      </c>
      <c r="G45" t="s">
        <v>22</v>
      </c>
      <c r="H45" s="4">
        <v>1018</v>
      </c>
      <c r="I45">
        <v>5.7</v>
      </c>
      <c r="J45">
        <v>204618</v>
      </c>
    </row>
    <row r="46" spans="1:10">
      <c r="A46">
        <v>188</v>
      </c>
      <c r="B46" t="s">
        <v>87</v>
      </c>
      <c r="C46">
        <v>2024</v>
      </c>
      <c r="D46" t="s">
        <v>85</v>
      </c>
      <c r="E46" t="s">
        <v>36</v>
      </c>
      <c r="F46" t="s">
        <v>45</v>
      </c>
      <c r="G46" t="s">
        <v>30</v>
      </c>
      <c r="H46" s="4">
        <v>968</v>
      </c>
      <c r="I46">
        <v>11.6</v>
      </c>
      <c r="J46">
        <v>204248</v>
      </c>
    </row>
    <row r="47" spans="1:10">
      <c r="A47">
        <v>433</v>
      </c>
      <c r="B47" t="s">
        <v>88</v>
      </c>
      <c r="C47">
        <v>2024</v>
      </c>
      <c r="D47" t="s">
        <v>40</v>
      </c>
      <c r="E47" t="s">
        <v>12</v>
      </c>
      <c r="F47" t="s">
        <v>21</v>
      </c>
      <c r="G47" t="s">
        <v>14</v>
      </c>
      <c r="H47" s="4">
        <v>987</v>
      </c>
      <c r="I47">
        <v>4.3</v>
      </c>
      <c r="J47">
        <v>202335</v>
      </c>
    </row>
    <row r="48" spans="1:10">
      <c r="A48">
        <v>479</v>
      </c>
      <c r="B48" t="s">
        <v>89</v>
      </c>
      <c r="C48">
        <v>2024</v>
      </c>
      <c r="D48" t="s">
        <v>61</v>
      </c>
      <c r="E48" t="s">
        <v>33</v>
      </c>
      <c r="F48" t="s">
        <v>13</v>
      </c>
      <c r="G48" t="s">
        <v>27</v>
      </c>
      <c r="H48" s="4">
        <v>1076</v>
      </c>
      <c r="I48">
        <v>11.4</v>
      </c>
      <c r="J48">
        <v>202288</v>
      </c>
    </row>
    <row r="49" spans="1:10">
      <c r="A49">
        <v>262</v>
      </c>
      <c r="B49" t="s">
        <v>90</v>
      </c>
      <c r="C49">
        <v>2024</v>
      </c>
      <c r="D49" t="s">
        <v>32</v>
      </c>
      <c r="E49" t="s">
        <v>23</v>
      </c>
      <c r="F49" t="s">
        <v>49</v>
      </c>
      <c r="G49" t="s">
        <v>15</v>
      </c>
      <c r="H49" s="4">
        <v>1001</v>
      </c>
      <c r="I49">
        <v>13.8</v>
      </c>
      <c r="J49">
        <v>202202</v>
      </c>
    </row>
    <row r="50" spans="1:10">
      <c r="A50">
        <v>426</v>
      </c>
      <c r="B50" t="s">
        <v>91</v>
      </c>
      <c r="C50">
        <v>2024</v>
      </c>
      <c r="D50" t="s">
        <v>19</v>
      </c>
      <c r="E50" t="s">
        <v>12</v>
      </c>
      <c r="F50" t="s">
        <v>13</v>
      </c>
      <c r="G50" t="s">
        <v>26</v>
      </c>
      <c r="H50" s="4">
        <v>1025</v>
      </c>
      <c r="I50">
        <v>4.0999999999999996</v>
      </c>
      <c r="J50">
        <v>199875</v>
      </c>
    </row>
    <row r="51" spans="1:10">
      <c r="A51">
        <v>26</v>
      </c>
      <c r="B51" t="s">
        <v>92</v>
      </c>
      <c r="C51">
        <v>2024</v>
      </c>
      <c r="D51" t="s">
        <v>61</v>
      </c>
      <c r="E51" t="s">
        <v>48</v>
      </c>
      <c r="F51" t="s">
        <v>42</v>
      </c>
      <c r="G51" t="s">
        <v>26</v>
      </c>
      <c r="H51" s="4">
        <v>916</v>
      </c>
      <c r="I51">
        <v>13.6</v>
      </c>
      <c r="J51">
        <v>199688</v>
      </c>
    </row>
    <row r="52" spans="1:10">
      <c r="A52">
        <v>168</v>
      </c>
      <c r="B52" t="s">
        <v>86</v>
      </c>
      <c r="C52">
        <v>2024</v>
      </c>
      <c r="D52" t="s">
        <v>32</v>
      </c>
      <c r="E52" t="s">
        <v>20</v>
      </c>
      <c r="F52" t="s">
        <v>49</v>
      </c>
      <c r="G52" t="s">
        <v>15</v>
      </c>
      <c r="H52" s="4">
        <v>1154</v>
      </c>
      <c r="I52">
        <v>12.6</v>
      </c>
      <c r="J52">
        <v>199642</v>
      </c>
    </row>
    <row r="53" spans="1:10">
      <c r="A53">
        <v>364</v>
      </c>
      <c r="B53" t="s">
        <v>93</v>
      </c>
      <c r="C53">
        <v>2024</v>
      </c>
      <c r="D53" t="s">
        <v>85</v>
      </c>
      <c r="E53" t="s">
        <v>33</v>
      </c>
      <c r="F53" t="s">
        <v>49</v>
      </c>
      <c r="G53" t="s">
        <v>30</v>
      </c>
      <c r="H53" s="4">
        <v>1188</v>
      </c>
      <c r="I53">
        <v>8.5</v>
      </c>
      <c r="J53">
        <v>199584</v>
      </c>
    </row>
    <row r="54" spans="1:10">
      <c r="A54">
        <v>367</v>
      </c>
      <c r="B54" t="s">
        <v>94</v>
      </c>
      <c r="C54">
        <v>2024</v>
      </c>
      <c r="D54" t="s">
        <v>95</v>
      </c>
      <c r="E54" t="s">
        <v>23</v>
      </c>
      <c r="F54" t="s">
        <v>45</v>
      </c>
      <c r="G54" t="s">
        <v>15</v>
      </c>
      <c r="H54" s="4">
        <v>895</v>
      </c>
      <c r="I54">
        <v>13.6</v>
      </c>
      <c r="J54">
        <v>198690</v>
      </c>
    </row>
    <row r="55" spans="1:10">
      <c r="A55">
        <v>99</v>
      </c>
      <c r="B55" t="s">
        <v>96</v>
      </c>
      <c r="C55">
        <v>2024</v>
      </c>
      <c r="D55" t="s">
        <v>85</v>
      </c>
      <c r="E55" t="s">
        <v>12</v>
      </c>
      <c r="F55" t="s">
        <v>13</v>
      </c>
      <c r="G55" t="s">
        <v>14</v>
      </c>
      <c r="H55" s="4">
        <v>808</v>
      </c>
      <c r="I55">
        <v>3.8</v>
      </c>
      <c r="J55">
        <v>197960</v>
      </c>
    </row>
    <row r="56" spans="1:10">
      <c r="A56">
        <v>139</v>
      </c>
      <c r="B56" t="s">
        <v>97</v>
      </c>
      <c r="C56">
        <v>2024</v>
      </c>
      <c r="D56" t="s">
        <v>44</v>
      </c>
      <c r="E56" t="s">
        <v>36</v>
      </c>
      <c r="F56" t="s">
        <v>13</v>
      </c>
      <c r="G56" t="s">
        <v>27</v>
      </c>
      <c r="H56" s="4">
        <v>947</v>
      </c>
      <c r="I56">
        <v>12.7</v>
      </c>
      <c r="J56">
        <v>193188</v>
      </c>
    </row>
    <row r="57" spans="1:10">
      <c r="A57">
        <v>163</v>
      </c>
      <c r="B57" t="s">
        <v>98</v>
      </c>
      <c r="C57">
        <v>2024</v>
      </c>
      <c r="D57" t="s">
        <v>95</v>
      </c>
      <c r="E57" t="s">
        <v>41</v>
      </c>
      <c r="F57" t="s">
        <v>21</v>
      </c>
      <c r="G57" t="s">
        <v>27</v>
      </c>
      <c r="H57" s="4">
        <v>860</v>
      </c>
      <c r="I57">
        <v>6</v>
      </c>
      <c r="J57">
        <v>192640</v>
      </c>
    </row>
    <row r="58" spans="1:10">
      <c r="A58">
        <v>249</v>
      </c>
      <c r="B58" t="s">
        <v>99</v>
      </c>
      <c r="C58">
        <v>2024</v>
      </c>
      <c r="D58" t="s">
        <v>11</v>
      </c>
      <c r="E58" t="s">
        <v>36</v>
      </c>
      <c r="F58" t="s">
        <v>14</v>
      </c>
      <c r="G58" t="s">
        <v>15</v>
      </c>
      <c r="H58" s="4">
        <v>1078</v>
      </c>
      <c r="I58">
        <v>7.1</v>
      </c>
      <c r="J58">
        <v>191884</v>
      </c>
    </row>
    <row r="59" spans="1:10">
      <c r="A59">
        <v>135</v>
      </c>
      <c r="B59" t="s">
        <v>97</v>
      </c>
      <c r="C59">
        <v>2024</v>
      </c>
      <c r="D59" t="s">
        <v>44</v>
      </c>
      <c r="E59" t="s">
        <v>41</v>
      </c>
      <c r="F59" t="s">
        <v>45</v>
      </c>
      <c r="G59" t="s">
        <v>22</v>
      </c>
      <c r="H59" s="4">
        <v>870</v>
      </c>
      <c r="I59">
        <v>11.9</v>
      </c>
      <c r="J59">
        <v>191400</v>
      </c>
    </row>
    <row r="60" spans="1:10">
      <c r="A60">
        <v>360</v>
      </c>
      <c r="B60" t="s">
        <v>100</v>
      </c>
      <c r="C60">
        <v>2024</v>
      </c>
      <c r="D60" t="s">
        <v>95</v>
      </c>
      <c r="E60" t="s">
        <v>48</v>
      </c>
      <c r="F60" t="s">
        <v>49</v>
      </c>
      <c r="G60" t="s">
        <v>22</v>
      </c>
      <c r="H60" s="4">
        <v>873</v>
      </c>
      <c r="I60">
        <v>7.8</v>
      </c>
      <c r="J60">
        <v>190314</v>
      </c>
    </row>
    <row r="61" spans="1:10">
      <c r="A61">
        <v>146</v>
      </c>
      <c r="B61" t="s">
        <v>101</v>
      </c>
      <c r="C61">
        <v>2024</v>
      </c>
      <c r="D61" t="s">
        <v>85</v>
      </c>
      <c r="E61" t="s">
        <v>33</v>
      </c>
      <c r="F61" t="s">
        <v>45</v>
      </c>
      <c r="G61" t="s">
        <v>26</v>
      </c>
      <c r="H61" s="4">
        <v>1153</v>
      </c>
      <c r="I61">
        <v>8.3000000000000007</v>
      </c>
      <c r="J61">
        <v>190245</v>
      </c>
    </row>
    <row r="62" spans="1:10">
      <c r="A62">
        <v>137</v>
      </c>
      <c r="B62" t="s">
        <v>102</v>
      </c>
      <c r="C62">
        <v>2024</v>
      </c>
      <c r="D62" t="s">
        <v>85</v>
      </c>
      <c r="E62" t="s">
        <v>12</v>
      </c>
      <c r="F62" t="s">
        <v>21</v>
      </c>
      <c r="G62" t="s">
        <v>14</v>
      </c>
      <c r="H62" s="4">
        <v>896</v>
      </c>
      <c r="I62">
        <v>3.6</v>
      </c>
      <c r="J62">
        <v>189952</v>
      </c>
    </row>
    <row r="63" spans="1:10">
      <c r="A63">
        <v>209</v>
      </c>
      <c r="B63" t="s">
        <v>103</v>
      </c>
      <c r="C63">
        <v>2024</v>
      </c>
      <c r="D63" t="s">
        <v>85</v>
      </c>
      <c r="E63" t="s">
        <v>36</v>
      </c>
      <c r="F63" t="s">
        <v>14</v>
      </c>
      <c r="G63" t="s">
        <v>14</v>
      </c>
      <c r="H63" s="4">
        <v>898</v>
      </c>
      <c r="I63">
        <v>6</v>
      </c>
      <c r="J63">
        <v>189478</v>
      </c>
    </row>
    <row r="64" spans="1:10">
      <c r="A64">
        <v>476</v>
      </c>
      <c r="B64" t="s">
        <v>86</v>
      </c>
      <c r="C64">
        <v>2024</v>
      </c>
      <c r="D64" t="s">
        <v>32</v>
      </c>
      <c r="E64" t="s">
        <v>33</v>
      </c>
      <c r="F64" t="s">
        <v>14</v>
      </c>
      <c r="G64" t="s">
        <v>30</v>
      </c>
      <c r="H64" s="4">
        <v>842</v>
      </c>
      <c r="I64">
        <v>12.5</v>
      </c>
      <c r="J64">
        <v>189450</v>
      </c>
    </row>
    <row r="65" spans="1:10">
      <c r="A65">
        <v>62</v>
      </c>
      <c r="B65" t="s">
        <v>104</v>
      </c>
      <c r="C65">
        <v>2024</v>
      </c>
      <c r="D65" t="s">
        <v>35</v>
      </c>
      <c r="E65" t="s">
        <v>12</v>
      </c>
      <c r="F65" t="s">
        <v>13</v>
      </c>
      <c r="G65" t="s">
        <v>22</v>
      </c>
      <c r="H65" s="4">
        <v>868</v>
      </c>
      <c r="I65">
        <v>10.5</v>
      </c>
      <c r="J65">
        <v>188356</v>
      </c>
    </row>
    <row r="66" spans="1:10">
      <c r="A66">
        <v>237</v>
      </c>
      <c r="B66" t="s">
        <v>105</v>
      </c>
      <c r="C66">
        <v>2024</v>
      </c>
      <c r="D66" t="s">
        <v>85</v>
      </c>
      <c r="E66" t="s">
        <v>20</v>
      </c>
      <c r="F66" t="s">
        <v>51</v>
      </c>
      <c r="G66" t="s">
        <v>15</v>
      </c>
      <c r="H66" s="4">
        <v>1091</v>
      </c>
      <c r="I66">
        <v>7</v>
      </c>
      <c r="J66">
        <v>187652</v>
      </c>
    </row>
    <row r="67" spans="1:10">
      <c r="A67">
        <v>399</v>
      </c>
      <c r="B67" t="s">
        <v>106</v>
      </c>
      <c r="C67">
        <v>2024</v>
      </c>
      <c r="D67" t="s">
        <v>38</v>
      </c>
      <c r="E67" t="s">
        <v>33</v>
      </c>
      <c r="F67" t="s">
        <v>13</v>
      </c>
      <c r="G67" t="s">
        <v>30</v>
      </c>
      <c r="H67" s="4">
        <v>818</v>
      </c>
      <c r="I67">
        <v>7.8</v>
      </c>
      <c r="J67">
        <v>187322</v>
      </c>
    </row>
    <row r="68" spans="1:10">
      <c r="A68">
        <v>352</v>
      </c>
      <c r="B68" t="s">
        <v>107</v>
      </c>
      <c r="C68">
        <v>2024</v>
      </c>
      <c r="D68" t="s">
        <v>25</v>
      </c>
      <c r="E68" t="s">
        <v>23</v>
      </c>
      <c r="F68" t="s">
        <v>49</v>
      </c>
      <c r="G68" t="s">
        <v>15</v>
      </c>
      <c r="H68" s="4">
        <v>1016</v>
      </c>
      <c r="I68">
        <v>3.3</v>
      </c>
      <c r="J68">
        <v>186944</v>
      </c>
    </row>
    <row r="69" spans="1:10">
      <c r="A69">
        <v>242</v>
      </c>
      <c r="B69" t="s">
        <v>108</v>
      </c>
      <c r="C69">
        <v>2024</v>
      </c>
      <c r="D69" t="s">
        <v>44</v>
      </c>
      <c r="E69" t="s">
        <v>48</v>
      </c>
      <c r="F69" t="s">
        <v>21</v>
      </c>
      <c r="G69" t="s">
        <v>15</v>
      </c>
      <c r="H69" s="4">
        <v>959</v>
      </c>
      <c r="I69">
        <v>9.6999999999999993</v>
      </c>
      <c r="J69">
        <v>186046</v>
      </c>
    </row>
    <row r="70" spans="1:10">
      <c r="A70">
        <v>337</v>
      </c>
      <c r="B70" t="s">
        <v>109</v>
      </c>
      <c r="C70">
        <v>2024</v>
      </c>
      <c r="D70" t="s">
        <v>61</v>
      </c>
      <c r="E70" t="s">
        <v>12</v>
      </c>
      <c r="F70" t="s">
        <v>13</v>
      </c>
      <c r="G70" t="s">
        <v>14</v>
      </c>
      <c r="H70" s="4">
        <v>880</v>
      </c>
      <c r="I70">
        <v>12.1</v>
      </c>
      <c r="J70">
        <v>185680</v>
      </c>
    </row>
    <row r="71" spans="1:10">
      <c r="A71">
        <v>466</v>
      </c>
      <c r="B71" t="s">
        <v>110</v>
      </c>
      <c r="C71">
        <v>2024</v>
      </c>
      <c r="D71" t="s">
        <v>32</v>
      </c>
      <c r="E71" t="s">
        <v>36</v>
      </c>
      <c r="F71" t="s">
        <v>51</v>
      </c>
      <c r="G71" t="s">
        <v>14</v>
      </c>
      <c r="H71" s="4">
        <v>914</v>
      </c>
      <c r="I71">
        <v>10.6</v>
      </c>
      <c r="J71">
        <v>184628</v>
      </c>
    </row>
    <row r="72" spans="1:10">
      <c r="A72">
        <v>395</v>
      </c>
      <c r="B72" t="s">
        <v>111</v>
      </c>
      <c r="C72">
        <v>2024</v>
      </c>
      <c r="D72" t="s">
        <v>38</v>
      </c>
      <c r="E72" t="s">
        <v>12</v>
      </c>
      <c r="F72" t="s">
        <v>45</v>
      </c>
      <c r="G72" t="s">
        <v>27</v>
      </c>
      <c r="H72" s="4">
        <v>846</v>
      </c>
      <c r="I72">
        <v>10.4</v>
      </c>
      <c r="J72">
        <v>184428</v>
      </c>
    </row>
    <row r="73" spans="1:10">
      <c r="A73">
        <v>341</v>
      </c>
      <c r="B73" t="s">
        <v>58</v>
      </c>
      <c r="C73">
        <v>2024</v>
      </c>
      <c r="D73" t="s">
        <v>32</v>
      </c>
      <c r="E73" t="s">
        <v>20</v>
      </c>
      <c r="F73" t="s">
        <v>42</v>
      </c>
      <c r="G73" t="s">
        <v>22</v>
      </c>
      <c r="H73" s="4">
        <v>1003</v>
      </c>
      <c r="I73">
        <v>6.4</v>
      </c>
      <c r="J73">
        <v>183549</v>
      </c>
    </row>
    <row r="74" spans="1:10">
      <c r="A74">
        <v>420</v>
      </c>
      <c r="B74" t="s">
        <v>74</v>
      </c>
      <c r="C74">
        <v>2024</v>
      </c>
      <c r="D74" t="s">
        <v>55</v>
      </c>
      <c r="E74" t="s">
        <v>41</v>
      </c>
      <c r="F74" t="s">
        <v>21</v>
      </c>
      <c r="G74" t="s">
        <v>27</v>
      </c>
      <c r="H74" s="4">
        <v>777</v>
      </c>
      <c r="I74">
        <v>4.8</v>
      </c>
      <c r="J74">
        <v>183372</v>
      </c>
    </row>
    <row r="75" spans="1:10">
      <c r="A75">
        <v>281</v>
      </c>
      <c r="B75" t="s">
        <v>47</v>
      </c>
      <c r="C75">
        <v>2024</v>
      </c>
      <c r="D75" t="s">
        <v>38</v>
      </c>
      <c r="E75" t="s">
        <v>23</v>
      </c>
      <c r="F75" t="s">
        <v>42</v>
      </c>
      <c r="G75" t="s">
        <v>27</v>
      </c>
      <c r="H75" s="4">
        <v>1160</v>
      </c>
      <c r="I75">
        <v>6.2</v>
      </c>
      <c r="J75">
        <v>180960</v>
      </c>
    </row>
    <row r="76" spans="1:10">
      <c r="A76">
        <v>67</v>
      </c>
      <c r="B76" t="s">
        <v>107</v>
      </c>
      <c r="C76">
        <v>2024</v>
      </c>
      <c r="D76" t="s">
        <v>25</v>
      </c>
      <c r="E76" t="s">
        <v>36</v>
      </c>
      <c r="F76" t="s">
        <v>42</v>
      </c>
      <c r="G76" t="s">
        <v>26</v>
      </c>
      <c r="H76" s="4">
        <v>726</v>
      </c>
      <c r="I76">
        <v>9.9</v>
      </c>
      <c r="J76">
        <v>180774</v>
      </c>
    </row>
    <row r="77" spans="1:10">
      <c r="A77">
        <v>53</v>
      </c>
      <c r="B77" t="s">
        <v>53</v>
      </c>
      <c r="C77">
        <v>2024</v>
      </c>
      <c r="D77" t="s">
        <v>32</v>
      </c>
      <c r="E77" t="s">
        <v>41</v>
      </c>
      <c r="F77" t="s">
        <v>13</v>
      </c>
      <c r="G77" t="s">
        <v>22</v>
      </c>
      <c r="H77" s="4">
        <v>954</v>
      </c>
      <c r="I77">
        <v>9.1</v>
      </c>
      <c r="J77">
        <v>180306</v>
      </c>
    </row>
    <row r="78" spans="1:10">
      <c r="A78">
        <v>404</v>
      </c>
      <c r="B78" t="s">
        <v>112</v>
      </c>
      <c r="C78">
        <v>2024</v>
      </c>
      <c r="D78" t="s">
        <v>25</v>
      </c>
      <c r="E78" t="s">
        <v>12</v>
      </c>
      <c r="F78" t="s">
        <v>49</v>
      </c>
      <c r="G78" t="s">
        <v>14</v>
      </c>
      <c r="H78" s="4">
        <v>774</v>
      </c>
      <c r="I78">
        <v>9.1</v>
      </c>
      <c r="J78">
        <v>179568</v>
      </c>
    </row>
    <row r="79" spans="1:10">
      <c r="A79">
        <v>379</v>
      </c>
      <c r="B79" t="s">
        <v>113</v>
      </c>
      <c r="C79">
        <v>2024</v>
      </c>
      <c r="D79" t="s">
        <v>61</v>
      </c>
      <c r="E79" t="s">
        <v>23</v>
      </c>
      <c r="F79" t="s">
        <v>51</v>
      </c>
      <c r="G79" t="s">
        <v>27</v>
      </c>
      <c r="H79" s="4">
        <v>1054</v>
      </c>
      <c r="I79">
        <v>8.1</v>
      </c>
      <c r="J79">
        <v>179180</v>
      </c>
    </row>
    <row r="80" spans="1:10">
      <c r="A80">
        <v>219</v>
      </c>
      <c r="B80" t="s">
        <v>114</v>
      </c>
      <c r="C80">
        <v>2024</v>
      </c>
      <c r="D80" t="s">
        <v>11</v>
      </c>
      <c r="E80" t="s">
        <v>12</v>
      </c>
      <c r="F80" t="s">
        <v>51</v>
      </c>
      <c r="G80" t="s">
        <v>26</v>
      </c>
      <c r="H80" s="4">
        <v>1123</v>
      </c>
      <c r="I80">
        <v>3.9</v>
      </c>
      <c r="J80">
        <v>178557</v>
      </c>
    </row>
    <row r="81" spans="1:10">
      <c r="A81">
        <v>450</v>
      </c>
      <c r="B81" t="s">
        <v>115</v>
      </c>
      <c r="C81">
        <v>2024</v>
      </c>
      <c r="D81" t="s">
        <v>95</v>
      </c>
      <c r="E81" t="s">
        <v>23</v>
      </c>
      <c r="F81" t="s">
        <v>14</v>
      </c>
      <c r="G81" t="s">
        <v>27</v>
      </c>
      <c r="H81" s="4">
        <v>768</v>
      </c>
      <c r="I81">
        <v>8.9</v>
      </c>
      <c r="J81">
        <v>178176</v>
      </c>
    </row>
    <row r="82" spans="1:10">
      <c r="A82">
        <v>298</v>
      </c>
      <c r="B82" t="s">
        <v>116</v>
      </c>
      <c r="C82">
        <v>2024</v>
      </c>
      <c r="D82" t="s">
        <v>11</v>
      </c>
      <c r="E82" t="s">
        <v>48</v>
      </c>
      <c r="F82" t="s">
        <v>45</v>
      </c>
      <c r="G82" t="s">
        <v>22</v>
      </c>
      <c r="H82" s="4">
        <v>1104</v>
      </c>
      <c r="I82">
        <v>9.1999999999999993</v>
      </c>
      <c r="J82">
        <v>177744</v>
      </c>
    </row>
    <row r="83" spans="1:10">
      <c r="A83">
        <v>488</v>
      </c>
      <c r="B83" t="s">
        <v>117</v>
      </c>
      <c r="C83">
        <v>2024</v>
      </c>
      <c r="D83" t="s">
        <v>35</v>
      </c>
      <c r="E83" t="s">
        <v>23</v>
      </c>
      <c r="F83" t="s">
        <v>14</v>
      </c>
      <c r="G83" t="s">
        <v>15</v>
      </c>
      <c r="H83" s="4">
        <v>787</v>
      </c>
      <c r="I83">
        <v>3.6</v>
      </c>
      <c r="J83">
        <v>177075</v>
      </c>
    </row>
    <row r="84" spans="1:10">
      <c r="A84">
        <v>149</v>
      </c>
      <c r="B84" t="s">
        <v>118</v>
      </c>
      <c r="C84">
        <v>2024</v>
      </c>
      <c r="D84" t="s">
        <v>32</v>
      </c>
      <c r="E84" t="s">
        <v>36</v>
      </c>
      <c r="F84" t="s">
        <v>49</v>
      </c>
      <c r="G84" t="s">
        <v>14</v>
      </c>
      <c r="H84" s="4">
        <v>1078</v>
      </c>
      <c r="I84">
        <v>13.6</v>
      </c>
      <c r="J84">
        <v>176792</v>
      </c>
    </row>
    <row r="85" spans="1:10">
      <c r="A85">
        <v>244</v>
      </c>
      <c r="B85" t="s">
        <v>119</v>
      </c>
      <c r="C85">
        <v>2024</v>
      </c>
      <c r="D85" t="s">
        <v>85</v>
      </c>
      <c r="E85" t="s">
        <v>33</v>
      </c>
      <c r="F85" t="s">
        <v>51</v>
      </c>
      <c r="G85" t="s">
        <v>15</v>
      </c>
      <c r="H85" s="4">
        <v>995</v>
      </c>
      <c r="I85">
        <v>11.5</v>
      </c>
      <c r="J85">
        <v>176115</v>
      </c>
    </row>
    <row r="86" spans="1:10">
      <c r="A86">
        <v>7</v>
      </c>
      <c r="B86" t="s">
        <v>100</v>
      </c>
      <c r="C86">
        <v>2024</v>
      </c>
      <c r="D86" t="s">
        <v>95</v>
      </c>
      <c r="E86" t="s">
        <v>36</v>
      </c>
      <c r="F86" t="s">
        <v>21</v>
      </c>
      <c r="G86" t="s">
        <v>26</v>
      </c>
      <c r="H86" s="4">
        <v>990</v>
      </c>
      <c r="I86">
        <v>8.9</v>
      </c>
      <c r="J86">
        <v>174240</v>
      </c>
    </row>
    <row r="87" spans="1:10">
      <c r="A87">
        <v>480</v>
      </c>
      <c r="B87" t="s">
        <v>120</v>
      </c>
      <c r="C87">
        <v>2024</v>
      </c>
      <c r="D87" t="s">
        <v>38</v>
      </c>
      <c r="E87" t="s">
        <v>36</v>
      </c>
      <c r="F87" t="s">
        <v>14</v>
      </c>
      <c r="G87" t="s">
        <v>22</v>
      </c>
      <c r="H87" s="4">
        <v>1151</v>
      </c>
      <c r="I87">
        <v>9.8000000000000007</v>
      </c>
      <c r="J87">
        <v>173801</v>
      </c>
    </row>
    <row r="88" spans="1:10">
      <c r="A88">
        <v>250</v>
      </c>
      <c r="B88" t="s">
        <v>121</v>
      </c>
      <c r="C88">
        <v>2024</v>
      </c>
      <c r="D88" t="s">
        <v>95</v>
      </c>
      <c r="E88" t="s">
        <v>12</v>
      </c>
      <c r="F88" t="s">
        <v>49</v>
      </c>
      <c r="G88" t="s">
        <v>15</v>
      </c>
      <c r="H88" s="4">
        <v>702</v>
      </c>
      <c r="I88">
        <v>13.2</v>
      </c>
      <c r="J88">
        <v>172692</v>
      </c>
    </row>
    <row r="89" spans="1:10">
      <c r="A89">
        <v>27</v>
      </c>
      <c r="B89" t="s">
        <v>122</v>
      </c>
      <c r="C89">
        <v>2024</v>
      </c>
      <c r="D89" t="s">
        <v>11</v>
      </c>
      <c r="E89" t="s">
        <v>62</v>
      </c>
      <c r="F89" t="s">
        <v>13</v>
      </c>
      <c r="G89" t="s">
        <v>15</v>
      </c>
      <c r="H89" s="4">
        <v>814</v>
      </c>
      <c r="I89">
        <v>7.8</v>
      </c>
      <c r="J89">
        <v>172568</v>
      </c>
    </row>
    <row r="90" spans="1:10">
      <c r="A90">
        <v>32</v>
      </c>
      <c r="B90" t="s">
        <v>123</v>
      </c>
      <c r="C90">
        <v>2024</v>
      </c>
      <c r="D90" t="s">
        <v>25</v>
      </c>
      <c r="E90" t="s">
        <v>62</v>
      </c>
      <c r="F90" t="s">
        <v>49</v>
      </c>
      <c r="G90" t="s">
        <v>27</v>
      </c>
      <c r="H90" s="4">
        <v>932</v>
      </c>
      <c r="I90">
        <v>6.9</v>
      </c>
      <c r="J90">
        <v>172420</v>
      </c>
    </row>
    <row r="91" spans="1:10">
      <c r="A91">
        <v>224</v>
      </c>
      <c r="B91" t="s">
        <v>124</v>
      </c>
      <c r="C91">
        <v>2024</v>
      </c>
      <c r="D91" t="s">
        <v>61</v>
      </c>
      <c r="E91" t="s">
        <v>12</v>
      </c>
      <c r="F91" t="s">
        <v>51</v>
      </c>
      <c r="G91" t="s">
        <v>14</v>
      </c>
      <c r="H91" s="4">
        <v>711</v>
      </c>
      <c r="I91">
        <v>12.5</v>
      </c>
      <c r="J91">
        <v>170640</v>
      </c>
    </row>
    <row r="92" spans="1:10">
      <c r="A92">
        <v>217</v>
      </c>
      <c r="B92" t="s">
        <v>125</v>
      </c>
      <c r="C92">
        <v>2024</v>
      </c>
      <c r="D92" t="s">
        <v>95</v>
      </c>
      <c r="E92" t="s">
        <v>62</v>
      </c>
      <c r="F92" t="s">
        <v>49</v>
      </c>
      <c r="G92" t="s">
        <v>27</v>
      </c>
      <c r="H92" s="4">
        <v>715</v>
      </c>
      <c r="I92">
        <v>4.9000000000000004</v>
      </c>
      <c r="J92">
        <v>170170</v>
      </c>
    </row>
    <row r="93" spans="1:10">
      <c r="A93">
        <v>104</v>
      </c>
      <c r="B93" t="s">
        <v>126</v>
      </c>
      <c r="C93">
        <v>2024</v>
      </c>
      <c r="D93" t="s">
        <v>55</v>
      </c>
      <c r="E93" t="s">
        <v>12</v>
      </c>
      <c r="F93" t="s">
        <v>51</v>
      </c>
      <c r="G93" t="s">
        <v>14</v>
      </c>
      <c r="H93" s="4">
        <v>826</v>
      </c>
      <c r="I93">
        <v>6.7</v>
      </c>
      <c r="J93">
        <v>170156</v>
      </c>
    </row>
    <row r="94" spans="1:10">
      <c r="A94">
        <v>457</v>
      </c>
      <c r="B94" t="s">
        <v>127</v>
      </c>
      <c r="C94">
        <v>2024</v>
      </c>
      <c r="D94" t="s">
        <v>55</v>
      </c>
      <c r="E94" t="s">
        <v>33</v>
      </c>
      <c r="F94" t="s">
        <v>51</v>
      </c>
      <c r="G94" t="s">
        <v>14</v>
      </c>
      <c r="H94" s="4">
        <v>783</v>
      </c>
      <c r="I94">
        <v>12.4</v>
      </c>
      <c r="J94">
        <v>169128</v>
      </c>
    </row>
    <row r="95" spans="1:10">
      <c r="A95">
        <v>87</v>
      </c>
      <c r="B95" t="s">
        <v>43</v>
      </c>
      <c r="C95">
        <v>2024</v>
      </c>
      <c r="D95" t="s">
        <v>44</v>
      </c>
      <c r="E95" t="s">
        <v>12</v>
      </c>
      <c r="F95" t="s">
        <v>42</v>
      </c>
      <c r="G95" t="s">
        <v>27</v>
      </c>
      <c r="H95" s="4">
        <v>942</v>
      </c>
      <c r="I95">
        <v>8.3000000000000007</v>
      </c>
      <c r="J95">
        <v>168618</v>
      </c>
    </row>
    <row r="96" spans="1:10">
      <c r="A96">
        <v>416</v>
      </c>
      <c r="B96" t="s">
        <v>128</v>
      </c>
      <c r="C96">
        <v>2024</v>
      </c>
      <c r="D96" t="s">
        <v>55</v>
      </c>
      <c r="E96" t="s">
        <v>48</v>
      </c>
      <c r="F96" t="s">
        <v>14</v>
      </c>
      <c r="G96" t="s">
        <v>27</v>
      </c>
      <c r="H96" s="4">
        <v>1072</v>
      </c>
      <c r="I96">
        <v>4.5</v>
      </c>
      <c r="J96">
        <v>168304</v>
      </c>
    </row>
    <row r="97" spans="1:10">
      <c r="A97">
        <v>132</v>
      </c>
      <c r="B97" t="s">
        <v>129</v>
      </c>
      <c r="C97">
        <v>2024</v>
      </c>
      <c r="D97" t="s">
        <v>85</v>
      </c>
      <c r="E97" t="s">
        <v>23</v>
      </c>
      <c r="F97" t="s">
        <v>21</v>
      </c>
      <c r="G97" t="s">
        <v>14</v>
      </c>
      <c r="H97" s="4">
        <v>1112</v>
      </c>
      <c r="I97">
        <v>10.199999999999999</v>
      </c>
      <c r="J97">
        <v>167912</v>
      </c>
    </row>
    <row r="98" spans="1:10">
      <c r="A98">
        <v>184</v>
      </c>
      <c r="B98" t="s">
        <v>130</v>
      </c>
      <c r="C98">
        <v>2024</v>
      </c>
      <c r="D98" t="s">
        <v>40</v>
      </c>
      <c r="E98" t="s">
        <v>41</v>
      </c>
      <c r="F98" t="s">
        <v>14</v>
      </c>
      <c r="G98" t="s">
        <v>15</v>
      </c>
      <c r="H98" s="4">
        <v>722</v>
      </c>
      <c r="I98">
        <v>11.5</v>
      </c>
      <c r="J98">
        <v>167504</v>
      </c>
    </row>
    <row r="99" spans="1:10">
      <c r="A99">
        <v>59</v>
      </c>
      <c r="B99" t="s">
        <v>131</v>
      </c>
      <c r="C99">
        <v>2024</v>
      </c>
      <c r="D99" t="s">
        <v>25</v>
      </c>
      <c r="E99" t="s">
        <v>48</v>
      </c>
      <c r="F99" t="s">
        <v>51</v>
      </c>
      <c r="G99" t="s">
        <v>14</v>
      </c>
      <c r="H99" s="4">
        <v>833</v>
      </c>
      <c r="I99">
        <v>12.6</v>
      </c>
      <c r="J99">
        <v>166600</v>
      </c>
    </row>
    <row r="100" spans="1:10">
      <c r="A100">
        <v>336</v>
      </c>
      <c r="B100" t="s">
        <v>132</v>
      </c>
      <c r="C100">
        <v>2024</v>
      </c>
      <c r="D100" t="s">
        <v>95</v>
      </c>
      <c r="E100" t="s">
        <v>48</v>
      </c>
      <c r="F100" t="s">
        <v>51</v>
      </c>
      <c r="G100" t="s">
        <v>30</v>
      </c>
      <c r="H100" s="4">
        <v>740</v>
      </c>
      <c r="I100">
        <v>11.7</v>
      </c>
      <c r="J100">
        <v>166500</v>
      </c>
    </row>
    <row r="101" spans="1:10">
      <c r="A101">
        <v>110</v>
      </c>
      <c r="B101" t="s">
        <v>133</v>
      </c>
      <c r="C101">
        <v>2024</v>
      </c>
      <c r="D101" t="s">
        <v>35</v>
      </c>
      <c r="E101" t="s">
        <v>12</v>
      </c>
      <c r="F101" t="s">
        <v>14</v>
      </c>
      <c r="G101" t="s">
        <v>27</v>
      </c>
      <c r="H101" s="4">
        <v>754</v>
      </c>
      <c r="I101">
        <v>7.7</v>
      </c>
      <c r="J101">
        <v>165880</v>
      </c>
    </row>
    <row r="102" spans="1:10">
      <c r="A102">
        <v>48</v>
      </c>
      <c r="B102" t="s">
        <v>134</v>
      </c>
      <c r="C102">
        <v>2024</v>
      </c>
      <c r="D102" t="s">
        <v>55</v>
      </c>
      <c r="E102" t="s">
        <v>41</v>
      </c>
      <c r="F102" t="s">
        <v>42</v>
      </c>
      <c r="G102" t="s">
        <v>30</v>
      </c>
      <c r="H102" s="4">
        <v>669</v>
      </c>
      <c r="I102">
        <v>9.6999999999999993</v>
      </c>
      <c r="J102">
        <v>165243</v>
      </c>
    </row>
    <row r="103" spans="1:10">
      <c r="A103">
        <v>142</v>
      </c>
      <c r="B103" t="s">
        <v>66</v>
      </c>
      <c r="C103">
        <v>2024</v>
      </c>
      <c r="D103" t="s">
        <v>32</v>
      </c>
      <c r="E103" t="s">
        <v>20</v>
      </c>
      <c r="F103" t="s">
        <v>45</v>
      </c>
      <c r="G103" t="s">
        <v>14</v>
      </c>
      <c r="H103" s="4">
        <v>1070</v>
      </c>
      <c r="I103">
        <v>13.3</v>
      </c>
      <c r="J103">
        <v>164780</v>
      </c>
    </row>
    <row r="104" spans="1:10">
      <c r="A104">
        <v>319</v>
      </c>
      <c r="B104" t="s">
        <v>135</v>
      </c>
      <c r="C104">
        <v>2024</v>
      </c>
      <c r="D104" t="s">
        <v>55</v>
      </c>
      <c r="E104" t="s">
        <v>23</v>
      </c>
      <c r="F104" t="s">
        <v>45</v>
      </c>
      <c r="G104" t="s">
        <v>30</v>
      </c>
      <c r="H104" s="4">
        <v>1029</v>
      </c>
      <c r="I104">
        <v>8.8000000000000007</v>
      </c>
      <c r="J104">
        <v>164640</v>
      </c>
    </row>
    <row r="105" spans="1:10">
      <c r="A105">
        <v>485</v>
      </c>
      <c r="B105" t="s">
        <v>136</v>
      </c>
      <c r="C105">
        <v>2024</v>
      </c>
      <c r="D105" t="s">
        <v>19</v>
      </c>
      <c r="E105" t="s">
        <v>23</v>
      </c>
      <c r="F105" t="s">
        <v>14</v>
      </c>
      <c r="G105" t="s">
        <v>15</v>
      </c>
      <c r="H105" s="4">
        <v>1121</v>
      </c>
      <c r="I105">
        <v>8.6999999999999993</v>
      </c>
      <c r="J105">
        <v>163666</v>
      </c>
    </row>
    <row r="106" spans="1:10">
      <c r="A106">
        <v>216</v>
      </c>
      <c r="B106" t="s">
        <v>137</v>
      </c>
      <c r="C106">
        <v>2024</v>
      </c>
      <c r="D106" t="s">
        <v>38</v>
      </c>
      <c r="E106" t="s">
        <v>20</v>
      </c>
      <c r="F106" t="s">
        <v>13</v>
      </c>
      <c r="G106" t="s">
        <v>14</v>
      </c>
      <c r="H106" s="4">
        <v>878</v>
      </c>
      <c r="I106">
        <v>10.8</v>
      </c>
      <c r="J106">
        <v>163308</v>
      </c>
    </row>
    <row r="107" spans="1:10">
      <c r="A107">
        <v>418</v>
      </c>
      <c r="B107" t="s">
        <v>50</v>
      </c>
      <c r="C107">
        <v>2024</v>
      </c>
      <c r="D107" t="s">
        <v>38</v>
      </c>
      <c r="E107" t="s">
        <v>41</v>
      </c>
      <c r="F107" t="s">
        <v>49</v>
      </c>
      <c r="G107" t="s">
        <v>26</v>
      </c>
      <c r="H107" s="4">
        <v>870</v>
      </c>
      <c r="I107">
        <v>8.9</v>
      </c>
      <c r="J107">
        <v>162690</v>
      </c>
    </row>
    <row r="108" spans="1:10">
      <c r="A108">
        <v>39</v>
      </c>
      <c r="B108" t="s">
        <v>138</v>
      </c>
      <c r="C108">
        <v>2024</v>
      </c>
      <c r="D108" t="s">
        <v>38</v>
      </c>
      <c r="E108" t="s">
        <v>48</v>
      </c>
      <c r="F108" t="s">
        <v>13</v>
      </c>
      <c r="G108" t="s">
        <v>30</v>
      </c>
      <c r="H108" s="4">
        <v>1046</v>
      </c>
      <c r="I108">
        <v>4.7</v>
      </c>
      <c r="J108">
        <v>162130</v>
      </c>
    </row>
    <row r="109" spans="1:10">
      <c r="A109">
        <v>458</v>
      </c>
      <c r="B109" t="s">
        <v>139</v>
      </c>
      <c r="C109">
        <v>2024</v>
      </c>
      <c r="D109" t="s">
        <v>40</v>
      </c>
      <c r="E109" t="s">
        <v>12</v>
      </c>
      <c r="F109" t="s">
        <v>21</v>
      </c>
      <c r="G109" t="s">
        <v>30</v>
      </c>
      <c r="H109" s="4">
        <v>1063</v>
      </c>
      <c r="I109">
        <v>6</v>
      </c>
      <c r="J109">
        <v>161576</v>
      </c>
    </row>
    <row r="110" spans="1:10">
      <c r="A110">
        <v>353</v>
      </c>
      <c r="B110" t="s">
        <v>113</v>
      </c>
      <c r="C110">
        <v>2024</v>
      </c>
      <c r="D110" t="s">
        <v>61</v>
      </c>
      <c r="E110" t="s">
        <v>62</v>
      </c>
      <c r="F110" t="s">
        <v>49</v>
      </c>
      <c r="G110" t="s">
        <v>14</v>
      </c>
      <c r="H110" s="4">
        <v>910</v>
      </c>
      <c r="I110">
        <v>7.1</v>
      </c>
      <c r="J110">
        <v>161070</v>
      </c>
    </row>
    <row r="111" spans="1:10">
      <c r="A111">
        <v>200</v>
      </c>
      <c r="B111" t="s">
        <v>140</v>
      </c>
      <c r="C111">
        <v>2024</v>
      </c>
      <c r="D111" t="s">
        <v>19</v>
      </c>
      <c r="E111" t="s">
        <v>48</v>
      </c>
      <c r="F111" t="s">
        <v>51</v>
      </c>
      <c r="G111" t="s">
        <v>27</v>
      </c>
      <c r="H111" s="4">
        <v>770</v>
      </c>
      <c r="I111">
        <v>4.0999999999999996</v>
      </c>
      <c r="J111">
        <v>160930</v>
      </c>
    </row>
    <row r="112" spans="1:10">
      <c r="A112">
        <v>169</v>
      </c>
      <c r="B112" t="s">
        <v>71</v>
      </c>
      <c r="C112">
        <v>2024</v>
      </c>
      <c r="D112" t="s">
        <v>44</v>
      </c>
      <c r="E112" t="s">
        <v>12</v>
      </c>
      <c r="F112" t="s">
        <v>49</v>
      </c>
      <c r="G112" t="s">
        <v>22</v>
      </c>
      <c r="H112" s="4">
        <v>1036</v>
      </c>
      <c r="I112">
        <v>13.6</v>
      </c>
      <c r="J112">
        <v>160580</v>
      </c>
    </row>
    <row r="113" spans="1:10">
      <c r="A113">
        <v>194</v>
      </c>
      <c r="B113" t="s">
        <v>24</v>
      </c>
      <c r="C113">
        <v>2024</v>
      </c>
      <c r="D113" t="s">
        <v>25</v>
      </c>
      <c r="E113" t="s">
        <v>33</v>
      </c>
      <c r="F113" t="s">
        <v>45</v>
      </c>
      <c r="G113" t="s">
        <v>15</v>
      </c>
      <c r="H113" s="4">
        <v>1179</v>
      </c>
      <c r="I113">
        <v>10.9</v>
      </c>
      <c r="J113">
        <v>159165</v>
      </c>
    </row>
    <row r="114" spans="1:10">
      <c r="A114">
        <v>225</v>
      </c>
      <c r="B114" t="s">
        <v>63</v>
      </c>
      <c r="C114">
        <v>2024</v>
      </c>
      <c r="D114" t="s">
        <v>25</v>
      </c>
      <c r="E114" t="s">
        <v>20</v>
      </c>
      <c r="F114" t="s">
        <v>21</v>
      </c>
      <c r="G114" t="s">
        <v>22</v>
      </c>
      <c r="H114" s="4">
        <v>1010</v>
      </c>
      <c r="I114">
        <v>7.9</v>
      </c>
      <c r="J114">
        <v>158570</v>
      </c>
    </row>
    <row r="115" spans="1:10">
      <c r="A115">
        <v>327</v>
      </c>
      <c r="B115" t="s">
        <v>126</v>
      </c>
      <c r="C115">
        <v>2024</v>
      </c>
      <c r="D115" t="s">
        <v>55</v>
      </c>
      <c r="E115" t="s">
        <v>41</v>
      </c>
      <c r="F115" t="s">
        <v>13</v>
      </c>
      <c r="G115" t="s">
        <v>14</v>
      </c>
      <c r="H115" s="4">
        <v>1137</v>
      </c>
      <c r="I115">
        <v>5.5</v>
      </c>
      <c r="J115">
        <v>158043</v>
      </c>
    </row>
    <row r="116" spans="1:10">
      <c r="A116">
        <v>471</v>
      </c>
      <c r="B116" t="s">
        <v>75</v>
      </c>
      <c r="C116">
        <v>2024</v>
      </c>
      <c r="D116" t="s">
        <v>38</v>
      </c>
      <c r="E116" t="s">
        <v>12</v>
      </c>
      <c r="F116" t="s">
        <v>49</v>
      </c>
      <c r="G116" t="s">
        <v>15</v>
      </c>
      <c r="H116" s="4">
        <v>836</v>
      </c>
      <c r="I116">
        <v>6.9</v>
      </c>
      <c r="J116">
        <v>158004</v>
      </c>
    </row>
    <row r="117" spans="1:10">
      <c r="A117">
        <v>473</v>
      </c>
      <c r="B117" t="s">
        <v>141</v>
      </c>
      <c r="C117">
        <v>2024</v>
      </c>
      <c r="D117" t="s">
        <v>95</v>
      </c>
      <c r="E117" t="s">
        <v>48</v>
      </c>
      <c r="F117" t="s">
        <v>42</v>
      </c>
      <c r="G117" t="s">
        <v>14</v>
      </c>
      <c r="H117" s="4">
        <v>667</v>
      </c>
      <c r="I117">
        <v>5.3</v>
      </c>
      <c r="J117">
        <v>156745</v>
      </c>
    </row>
    <row r="118" spans="1:10">
      <c r="A118">
        <v>409</v>
      </c>
      <c r="B118" t="s">
        <v>88</v>
      </c>
      <c r="C118">
        <v>2024</v>
      </c>
      <c r="D118" t="s">
        <v>40</v>
      </c>
      <c r="E118" t="s">
        <v>41</v>
      </c>
      <c r="F118" t="s">
        <v>45</v>
      </c>
      <c r="G118" t="s">
        <v>26</v>
      </c>
      <c r="H118" s="4">
        <v>987</v>
      </c>
      <c r="I118">
        <v>4.2</v>
      </c>
      <c r="J118">
        <v>154959</v>
      </c>
    </row>
    <row r="119" spans="1:10">
      <c r="A119">
        <v>236</v>
      </c>
      <c r="B119" t="s">
        <v>124</v>
      </c>
      <c r="C119">
        <v>2024</v>
      </c>
      <c r="D119" t="s">
        <v>61</v>
      </c>
      <c r="E119" t="s">
        <v>36</v>
      </c>
      <c r="F119" t="s">
        <v>42</v>
      </c>
      <c r="G119" t="s">
        <v>27</v>
      </c>
      <c r="H119" s="4">
        <v>722</v>
      </c>
      <c r="I119">
        <v>11.9</v>
      </c>
      <c r="J119">
        <v>154508</v>
      </c>
    </row>
    <row r="120" spans="1:10">
      <c r="A120">
        <v>91</v>
      </c>
      <c r="B120" t="s">
        <v>142</v>
      </c>
      <c r="C120">
        <v>2024</v>
      </c>
      <c r="D120" t="s">
        <v>19</v>
      </c>
      <c r="E120" t="s">
        <v>20</v>
      </c>
      <c r="F120" t="s">
        <v>49</v>
      </c>
      <c r="G120" t="s">
        <v>22</v>
      </c>
      <c r="H120" s="4">
        <v>826</v>
      </c>
      <c r="I120">
        <v>6.1</v>
      </c>
      <c r="J120">
        <v>154462</v>
      </c>
    </row>
    <row r="121" spans="1:10">
      <c r="A121">
        <v>270</v>
      </c>
      <c r="B121" t="s">
        <v>143</v>
      </c>
      <c r="C121">
        <v>2024</v>
      </c>
      <c r="D121" t="s">
        <v>55</v>
      </c>
      <c r="E121" t="s">
        <v>33</v>
      </c>
      <c r="F121" t="s">
        <v>51</v>
      </c>
      <c r="G121" t="s">
        <v>27</v>
      </c>
      <c r="H121" s="4">
        <v>655</v>
      </c>
      <c r="I121">
        <v>6.4</v>
      </c>
      <c r="J121">
        <v>153270</v>
      </c>
    </row>
    <row r="122" spans="1:10">
      <c r="A122">
        <v>193</v>
      </c>
      <c r="B122" t="s">
        <v>133</v>
      </c>
      <c r="C122">
        <v>2024</v>
      </c>
      <c r="D122" t="s">
        <v>35</v>
      </c>
      <c r="E122" t="s">
        <v>33</v>
      </c>
      <c r="F122" t="s">
        <v>13</v>
      </c>
      <c r="G122" t="s">
        <v>27</v>
      </c>
      <c r="H122" s="4">
        <v>653</v>
      </c>
      <c r="I122">
        <v>8</v>
      </c>
      <c r="J122">
        <v>152802</v>
      </c>
    </row>
    <row r="123" spans="1:10">
      <c r="A123">
        <v>106</v>
      </c>
      <c r="B123" t="s">
        <v>144</v>
      </c>
      <c r="C123">
        <v>2024</v>
      </c>
      <c r="D123" t="s">
        <v>44</v>
      </c>
      <c r="E123" t="s">
        <v>36</v>
      </c>
      <c r="F123" t="s">
        <v>51</v>
      </c>
      <c r="G123" t="s">
        <v>27</v>
      </c>
      <c r="H123" s="4">
        <v>1188</v>
      </c>
      <c r="I123">
        <v>3.1</v>
      </c>
      <c r="J123">
        <v>152064</v>
      </c>
    </row>
    <row r="124" spans="1:10">
      <c r="A124">
        <v>361</v>
      </c>
      <c r="B124" t="s">
        <v>145</v>
      </c>
      <c r="C124">
        <v>2024</v>
      </c>
      <c r="D124" t="s">
        <v>32</v>
      </c>
      <c r="E124" t="s">
        <v>12</v>
      </c>
      <c r="F124" t="s">
        <v>21</v>
      </c>
      <c r="G124" t="s">
        <v>30</v>
      </c>
      <c r="H124" s="4">
        <v>1081</v>
      </c>
      <c r="I124">
        <v>13.9</v>
      </c>
      <c r="J124">
        <v>150259</v>
      </c>
    </row>
    <row r="125" spans="1:10">
      <c r="A125">
        <v>425</v>
      </c>
      <c r="B125" t="s">
        <v>46</v>
      </c>
      <c r="C125">
        <v>2024</v>
      </c>
      <c r="D125" t="s">
        <v>32</v>
      </c>
      <c r="E125" t="s">
        <v>48</v>
      </c>
      <c r="F125" t="s">
        <v>21</v>
      </c>
      <c r="G125" t="s">
        <v>14</v>
      </c>
      <c r="H125" s="4">
        <v>763</v>
      </c>
      <c r="I125">
        <v>6.4</v>
      </c>
      <c r="J125">
        <v>149548</v>
      </c>
    </row>
    <row r="126" spans="1:10">
      <c r="A126">
        <v>107</v>
      </c>
      <c r="B126" t="s">
        <v>146</v>
      </c>
      <c r="C126">
        <v>2024</v>
      </c>
      <c r="D126" t="s">
        <v>11</v>
      </c>
      <c r="E126" t="s">
        <v>62</v>
      </c>
      <c r="F126" t="s">
        <v>42</v>
      </c>
      <c r="G126" t="s">
        <v>27</v>
      </c>
      <c r="H126" s="4">
        <v>1050</v>
      </c>
      <c r="I126">
        <v>9.1</v>
      </c>
      <c r="J126">
        <v>148050</v>
      </c>
    </row>
    <row r="127" spans="1:10">
      <c r="A127">
        <v>413</v>
      </c>
      <c r="B127" t="s">
        <v>147</v>
      </c>
      <c r="C127">
        <v>2024</v>
      </c>
      <c r="D127" t="s">
        <v>19</v>
      </c>
      <c r="E127" t="s">
        <v>12</v>
      </c>
      <c r="F127" t="s">
        <v>13</v>
      </c>
      <c r="G127" t="s">
        <v>30</v>
      </c>
      <c r="H127" s="4">
        <v>820</v>
      </c>
      <c r="I127">
        <v>6.1</v>
      </c>
      <c r="J127">
        <v>147600</v>
      </c>
    </row>
    <row r="128" spans="1:10">
      <c r="A128">
        <v>264</v>
      </c>
      <c r="B128" t="s">
        <v>148</v>
      </c>
      <c r="C128">
        <v>2024</v>
      </c>
      <c r="D128" t="s">
        <v>95</v>
      </c>
      <c r="E128" t="s">
        <v>33</v>
      </c>
      <c r="F128" t="s">
        <v>49</v>
      </c>
      <c r="G128" t="s">
        <v>30</v>
      </c>
      <c r="H128" s="4">
        <v>696</v>
      </c>
      <c r="I128">
        <v>13.3</v>
      </c>
      <c r="J128">
        <v>146856</v>
      </c>
    </row>
    <row r="129" spans="1:10">
      <c r="A129">
        <v>307</v>
      </c>
      <c r="B129" t="s">
        <v>149</v>
      </c>
      <c r="C129">
        <v>2024</v>
      </c>
      <c r="D129" t="s">
        <v>35</v>
      </c>
      <c r="E129" t="s">
        <v>36</v>
      </c>
      <c r="F129" t="s">
        <v>51</v>
      </c>
      <c r="G129" t="s">
        <v>22</v>
      </c>
      <c r="H129" s="4">
        <v>972</v>
      </c>
      <c r="I129">
        <v>11.4</v>
      </c>
      <c r="J129">
        <v>146772</v>
      </c>
    </row>
    <row r="130" spans="1:10">
      <c r="A130">
        <v>369</v>
      </c>
      <c r="B130" t="s">
        <v>150</v>
      </c>
      <c r="C130">
        <v>2024</v>
      </c>
      <c r="D130" t="s">
        <v>25</v>
      </c>
      <c r="E130" t="s">
        <v>41</v>
      </c>
      <c r="F130" t="s">
        <v>14</v>
      </c>
      <c r="G130" t="s">
        <v>14</v>
      </c>
      <c r="H130" s="4">
        <v>1146</v>
      </c>
      <c r="I130">
        <v>11</v>
      </c>
      <c r="J130">
        <v>146688</v>
      </c>
    </row>
    <row r="131" spans="1:10">
      <c r="A131">
        <v>12</v>
      </c>
      <c r="B131" t="s">
        <v>151</v>
      </c>
      <c r="C131">
        <v>2024</v>
      </c>
      <c r="D131" t="s">
        <v>11</v>
      </c>
      <c r="E131" t="s">
        <v>48</v>
      </c>
      <c r="F131" t="s">
        <v>42</v>
      </c>
      <c r="G131" t="s">
        <v>26</v>
      </c>
      <c r="H131" s="4">
        <v>602</v>
      </c>
      <c r="I131">
        <v>13.9</v>
      </c>
      <c r="J131">
        <v>146286</v>
      </c>
    </row>
    <row r="132" spans="1:10">
      <c r="A132">
        <v>210</v>
      </c>
      <c r="B132" t="s">
        <v>152</v>
      </c>
      <c r="C132">
        <v>2024</v>
      </c>
      <c r="D132" t="s">
        <v>25</v>
      </c>
      <c r="E132" t="s">
        <v>62</v>
      </c>
      <c r="F132" t="s">
        <v>21</v>
      </c>
      <c r="G132" t="s">
        <v>27</v>
      </c>
      <c r="H132" s="4">
        <v>630</v>
      </c>
      <c r="I132">
        <v>10.5</v>
      </c>
      <c r="J132">
        <v>145530</v>
      </c>
    </row>
    <row r="133" spans="1:10">
      <c r="A133">
        <v>199</v>
      </c>
      <c r="B133" t="s">
        <v>153</v>
      </c>
      <c r="C133">
        <v>2024</v>
      </c>
      <c r="D133" t="s">
        <v>11</v>
      </c>
      <c r="E133" t="s">
        <v>41</v>
      </c>
      <c r="F133" t="s">
        <v>14</v>
      </c>
      <c r="G133" t="s">
        <v>30</v>
      </c>
      <c r="H133" s="4">
        <v>774</v>
      </c>
      <c r="I133">
        <v>12.6</v>
      </c>
      <c r="J133">
        <v>145512</v>
      </c>
    </row>
    <row r="134" spans="1:10">
      <c r="A134">
        <v>434</v>
      </c>
      <c r="B134" t="s">
        <v>154</v>
      </c>
      <c r="C134">
        <v>2024</v>
      </c>
      <c r="D134" t="s">
        <v>61</v>
      </c>
      <c r="E134" t="s">
        <v>12</v>
      </c>
      <c r="F134" t="s">
        <v>49</v>
      </c>
      <c r="G134" t="s">
        <v>14</v>
      </c>
      <c r="H134" s="4">
        <v>853</v>
      </c>
      <c r="I134">
        <v>9.5</v>
      </c>
      <c r="J134">
        <v>144157</v>
      </c>
    </row>
    <row r="135" spans="1:10">
      <c r="A135">
        <v>374</v>
      </c>
      <c r="B135" t="s">
        <v>155</v>
      </c>
      <c r="C135">
        <v>2024</v>
      </c>
      <c r="D135" t="s">
        <v>11</v>
      </c>
      <c r="E135" t="s">
        <v>62</v>
      </c>
      <c r="F135" t="s">
        <v>45</v>
      </c>
      <c r="G135" t="s">
        <v>22</v>
      </c>
      <c r="H135" s="4">
        <v>681</v>
      </c>
      <c r="I135">
        <v>5.9</v>
      </c>
      <c r="J135">
        <v>143691</v>
      </c>
    </row>
    <row r="136" spans="1:10">
      <c r="A136">
        <v>14</v>
      </c>
      <c r="B136" t="s">
        <v>139</v>
      </c>
      <c r="C136">
        <v>2024</v>
      </c>
      <c r="D136" t="s">
        <v>40</v>
      </c>
      <c r="E136" t="s">
        <v>33</v>
      </c>
      <c r="F136" t="s">
        <v>42</v>
      </c>
      <c r="G136" t="s">
        <v>14</v>
      </c>
      <c r="H136" s="4">
        <v>694</v>
      </c>
      <c r="I136">
        <v>5.3</v>
      </c>
      <c r="J136">
        <v>143658</v>
      </c>
    </row>
    <row r="137" spans="1:10">
      <c r="A137">
        <v>185</v>
      </c>
      <c r="B137" t="s">
        <v>156</v>
      </c>
      <c r="C137">
        <v>2024</v>
      </c>
      <c r="D137" t="s">
        <v>32</v>
      </c>
      <c r="E137" t="s">
        <v>36</v>
      </c>
      <c r="F137" t="s">
        <v>42</v>
      </c>
      <c r="G137" t="s">
        <v>22</v>
      </c>
      <c r="H137" s="4">
        <v>1156</v>
      </c>
      <c r="I137">
        <v>5.8</v>
      </c>
      <c r="J137">
        <v>143344</v>
      </c>
    </row>
    <row r="138" spans="1:10">
      <c r="A138">
        <v>335</v>
      </c>
      <c r="B138" t="s">
        <v>157</v>
      </c>
      <c r="C138">
        <v>2024</v>
      </c>
      <c r="D138" t="s">
        <v>25</v>
      </c>
      <c r="E138" t="s">
        <v>20</v>
      </c>
      <c r="F138" t="s">
        <v>42</v>
      </c>
      <c r="G138" t="s">
        <v>15</v>
      </c>
      <c r="H138" s="4">
        <v>727</v>
      </c>
      <c r="I138">
        <v>4.8</v>
      </c>
      <c r="J138">
        <v>143219</v>
      </c>
    </row>
    <row r="139" spans="1:10">
      <c r="A139">
        <v>421</v>
      </c>
      <c r="B139" t="s">
        <v>158</v>
      </c>
      <c r="C139">
        <v>2024</v>
      </c>
      <c r="D139" t="s">
        <v>55</v>
      </c>
      <c r="E139" t="s">
        <v>33</v>
      </c>
      <c r="F139" t="s">
        <v>13</v>
      </c>
      <c r="G139" t="s">
        <v>22</v>
      </c>
      <c r="H139" s="4">
        <v>868</v>
      </c>
      <c r="I139">
        <v>13.6</v>
      </c>
      <c r="J139">
        <v>142352</v>
      </c>
    </row>
    <row r="140" spans="1:10">
      <c r="A140">
        <v>495</v>
      </c>
      <c r="B140" t="s">
        <v>140</v>
      </c>
      <c r="C140">
        <v>2024</v>
      </c>
      <c r="D140" t="s">
        <v>19</v>
      </c>
      <c r="E140" t="s">
        <v>41</v>
      </c>
      <c r="F140" t="s">
        <v>14</v>
      </c>
      <c r="G140" t="s">
        <v>15</v>
      </c>
      <c r="H140" s="4">
        <v>720</v>
      </c>
      <c r="I140">
        <v>4</v>
      </c>
      <c r="J140">
        <v>141120</v>
      </c>
    </row>
    <row r="141" spans="1:10">
      <c r="A141">
        <v>365</v>
      </c>
      <c r="B141" t="s">
        <v>159</v>
      </c>
      <c r="C141">
        <v>2024</v>
      </c>
      <c r="D141" t="s">
        <v>19</v>
      </c>
      <c r="E141" t="s">
        <v>33</v>
      </c>
      <c r="F141" t="s">
        <v>51</v>
      </c>
      <c r="G141" t="s">
        <v>30</v>
      </c>
      <c r="H141" s="4">
        <v>902</v>
      </c>
      <c r="I141">
        <v>7.5</v>
      </c>
      <c r="J141">
        <v>140712</v>
      </c>
    </row>
    <row r="142" spans="1:10">
      <c r="A142">
        <v>124</v>
      </c>
      <c r="B142" t="s">
        <v>160</v>
      </c>
      <c r="C142">
        <v>2024</v>
      </c>
      <c r="D142" t="s">
        <v>38</v>
      </c>
      <c r="E142" t="s">
        <v>20</v>
      </c>
      <c r="F142" t="s">
        <v>42</v>
      </c>
      <c r="G142" t="s">
        <v>26</v>
      </c>
      <c r="H142" s="4">
        <v>1012</v>
      </c>
      <c r="I142">
        <v>6.2</v>
      </c>
      <c r="J142">
        <v>140668</v>
      </c>
    </row>
    <row r="143" spans="1:10">
      <c r="A143">
        <v>387</v>
      </c>
      <c r="B143" t="s">
        <v>161</v>
      </c>
      <c r="C143">
        <v>2024</v>
      </c>
      <c r="D143" t="s">
        <v>44</v>
      </c>
      <c r="E143" t="s">
        <v>36</v>
      </c>
      <c r="F143" t="s">
        <v>14</v>
      </c>
      <c r="G143" t="s">
        <v>14</v>
      </c>
      <c r="H143" s="4">
        <v>775</v>
      </c>
      <c r="I143">
        <v>5.9</v>
      </c>
      <c r="J143">
        <v>140275</v>
      </c>
    </row>
    <row r="144" spans="1:10">
      <c r="A144">
        <v>165</v>
      </c>
      <c r="B144" t="s">
        <v>79</v>
      </c>
      <c r="C144">
        <v>2024</v>
      </c>
      <c r="D144" t="s">
        <v>40</v>
      </c>
      <c r="E144" t="s">
        <v>23</v>
      </c>
      <c r="F144" t="s">
        <v>42</v>
      </c>
      <c r="G144" t="s">
        <v>22</v>
      </c>
      <c r="H144" s="4">
        <v>563</v>
      </c>
      <c r="I144">
        <v>10.5</v>
      </c>
      <c r="J144">
        <v>139624</v>
      </c>
    </row>
    <row r="145" spans="1:10">
      <c r="A145">
        <v>265</v>
      </c>
      <c r="B145" t="s">
        <v>84</v>
      </c>
      <c r="C145">
        <v>2024</v>
      </c>
      <c r="D145" t="s">
        <v>85</v>
      </c>
      <c r="E145" t="s">
        <v>48</v>
      </c>
      <c r="F145" t="s">
        <v>14</v>
      </c>
      <c r="G145" t="s">
        <v>26</v>
      </c>
      <c r="H145" s="4">
        <v>568</v>
      </c>
      <c r="I145">
        <v>3.4</v>
      </c>
      <c r="J145">
        <v>139160</v>
      </c>
    </row>
    <row r="146" spans="1:10">
      <c r="A146">
        <v>80</v>
      </c>
      <c r="B146" t="s">
        <v>87</v>
      </c>
      <c r="C146">
        <v>2024</v>
      </c>
      <c r="D146" t="s">
        <v>85</v>
      </c>
      <c r="E146" t="s">
        <v>20</v>
      </c>
      <c r="F146" t="s">
        <v>49</v>
      </c>
      <c r="G146" t="s">
        <v>30</v>
      </c>
      <c r="H146" s="4">
        <v>971</v>
      </c>
      <c r="I146">
        <v>5.9</v>
      </c>
      <c r="J146">
        <v>138853</v>
      </c>
    </row>
    <row r="147" spans="1:10">
      <c r="A147">
        <v>305</v>
      </c>
      <c r="B147" t="s">
        <v>162</v>
      </c>
      <c r="C147">
        <v>2024</v>
      </c>
      <c r="D147" t="s">
        <v>44</v>
      </c>
      <c r="E147" t="s">
        <v>41</v>
      </c>
      <c r="F147" t="s">
        <v>45</v>
      </c>
      <c r="G147" t="s">
        <v>22</v>
      </c>
      <c r="H147" s="4">
        <v>799</v>
      </c>
      <c r="I147">
        <v>11.4</v>
      </c>
      <c r="J147">
        <v>138227</v>
      </c>
    </row>
    <row r="148" spans="1:10">
      <c r="A148">
        <v>21</v>
      </c>
      <c r="B148" t="s">
        <v>163</v>
      </c>
      <c r="C148">
        <v>2024</v>
      </c>
      <c r="D148" t="s">
        <v>61</v>
      </c>
      <c r="E148" t="s">
        <v>48</v>
      </c>
      <c r="F148" t="s">
        <v>51</v>
      </c>
      <c r="G148" t="s">
        <v>26</v>
      </c>
      <c r="H148" s="4">
        <v>661</v>
      </c>
      <c r="I148">
        <v>12.3</v>
      </c>
      <c r="J148">
        <v>138149</v>
      </c>
    </row>
    <row r="149" spans="1:10">
      <c r="A149">
        <v>285</v>
      </c>
      <c r="B149" t="s">
        <v>164</v>
      </c>
      <c r="C149">
        <v>2024</v>
      </c>
      <c r="D149" t="s">
        <v>25</v>
      </c>
      <c r="E149" t="s">
        <v>33</v>
      </c>
      <c r="F149" t="s">
        <v>49</v>
      </c>
      <c r="G149" t="s">
        <v>14</v>
      </c>
      <c r="H149" s="4">
        <v>683</v>
      </c>
      <c r="I149">
        <v>7.4</v>
      </c>
      <c r="J149">
        <v>137966</v>
      </c>
    </row>
    <row r="150" spans="1:10">
      <c r="A150">
        <v>462</v>
      </c>
      <c r="B150" t="s">
        <v>150</v>
      </c>
      <c r="C150">
        <v>2024</v>
      </c>
      <c r="D150" t="s">
        <v>25</v>
      </c>
      <c r="E150" t="s">
        <v>23</v>
      </c>
      <c r="F150" t="s">
        <v>13</v>
      </c>
      <c r="G150" t="s">
        <v>14</v>
      </c>
      <c r="H150" s="4">
        <v>788</v>
      </c>
      <c r="I150">
        <v>5.8</v>
      </c>
      <c r="J150">
        <v>137900</v>
      </c>
    </row>
    <row r="151" spans="1:10">
      <c r="A151">
        <v>323</v>
      </c>
      <c r="B151" t="s">
        <v>165</v>
      </c>
      <c r="C151">
        <v>2024</v>
      </c>
      <c r="D151" t="s">
        <v>38</v>
      </c>
      <c r="E151" t="s">
        <v>33</v>
      </c>
      <c r="F151" t="s">
        <v>45</v>
      </c>
      <c r="G151" t="s">
        <v>26</v>
      </c>
      <c r="H151" s="4">
        <v>610</v>
      </c>
      <c r="I151">
        <v>6.2</v>
      </c>
      <c r="J151">
        <v>137860</v>
      </c>
    </row>
    <row r="152" spans="1:10">
      <c r="A152">
        <v>177</v>
      </c>
      <c r="B152" t="s">
        <v>116</v>
      </c>
      <c r="C152">
        <v>2024</v>
      </c>
      <c r="D152" t="s">
        <v>11</v>
      </c>
      <c r="E152" t="s">
        <v>33</v>
      </c>
      <c r="F152" t="s">
        <v>42</v>
      </c>
      <c r="G152" t="s">
        <v>22</v>
      </c>
      <c r="H152" s="4">
        <v>1156</v>
      </c>
      <c r="I152">
        <v>7.6</v>
      </c>
      <c r="J152">
        <v>137564</v>
      </c>
    </row>
    <row r="153" spans="1:10">
      <c r="A153">
        <v>71</v>
      </c>
      <c r="B153" t="s">
        <v>166</v>
      </c>
      <c r="C153">
        <v>2024</v>
      </c>
      <c r="D153" t="s">
        <v>85</v>
      </c>
      <c r="E153" t="s">
        <v>48</v>
      </c>
      <c r="F153" t="s">
        <v>21</v>
      </c>
      <c r="G153" t="s">
        <v>14</v>
      </c>
      <c r="H153" s="4">
        <v>709</v>
      </c>
      <c r="I153">
        <v>8.1</v>
      </c>
      <c r="J153">
        <v>136837</v>
      </c>
    </row>
    <row r="154" spans="1:10">
      <c r="A154">
        <v>378</v>
      </c>
      <c r="B154" t="s">
        <v>37</v>
      </c>
      <c r="C154">
        <v>2024</v>
      </c>
      <c r="D154" t="s">
        <v>38</v>
      </c>
      <c r="E154" t="s">
        <v>12</v>
      </c>
      <c r="F154" t="s">
        <v>14</v>
      </c>
      <c r="G154" t="s">
        <v>14</v>
      </c>
      <c r="H154" s="4">
        <v>553</v>
      </c>
      <c r="I154">
        <v>8.5</v>
      </c>
      <c r="J154">
        <v>136591</v>
      </c>
    </row>
    <row r="155" spans="1:10">
      <c r="A155">
        <v>125</v>
      </c>
      <c r="B155" t="s">
        <v>70</v>
      </c>
      <c r="C155">
        <v>2024</v>
      </c>
      <c r="D155" t="s">
        <v>55</v>
      </c>
      <c r="E155" t="s">
        <v>20</v>
      </c>
      <c r="F155" t="s">
        <v>49</v>
      </c>
      <c r="G155" t="s">
        <v>27</v>
      </c>
      <c r="H155" s="4">
        <v>979</v>
      </c>
      <c r="I155">
        <v>3.8</v>
      </c>
      <c r="J155">
        <v>136081</v>
      </c>
    </row>
    <row r="156" spans="1:10">
      <c r="A156">
        <v>410</v>
      </c>
      <c r="B156" t="s">
        <v>167</v>
      </c>
      <c r="C156">
        <v>2024</v>
      </c>
      <c r="D156" t="s">
        <v>61</v>
      </c>
      <c r="E156" t="s">
        <v>62</v>
      </c>
      <c r="F156" t="s">
        <v>14</v>
      </c>
      <c r="G156" t="s">
        <v>14</v>
      </c>
      <c r="H156" s="4">
        <v>828</v>
      </c>
      <c r="I156">
        <v>11.8</v>
      </c>
      <c r="J156">
        <v>135792</v>
      </c>
    </row>
    <row r="157" spans="1:10">
      <c r="A157">
        <v>10</v>
      </c>
      <c r="B157" t="s">
        <v>81</v>
      </c>
      <c r="C157">
        <v>2024</v>
      </c>
      <c r="D157" t="s">
        <v>61</v>
      </c>
      <c r="E157" t="s">
        <v>48</v>
      </c>
      <c r="F157" t="s">
        <v>42</v>
      </c>
      <c r="G157" t="s">
        <v>26</v>
      </c>
      <c r="H157" s="4">
        <v>797</v>
      </c>
      <c r="I157">
        <v>4.8</v>
      </c>
      <c r="J157">
        <v>135490</v>
      </c>
    </row>
    <row r="158" spans="1:10">
      <c r="A158">
        <v>451</v>
      </c>
      <c r="B158" t="s">
        <v>168</v>
      </c>
      <c r="C158">
        <v>2024</v>
      </c>
      <c r="D158" t="s">
        <v>44</v>
      </c>
      <c r="E158" t="s">
        <v>36</v>
      </c>
      <c r="F158" t="s">
        <v>51</v>
      </c>
      <c r="G158" t="s">
        <v>14</v>
      </c>
      <c r="H158" s="4">
        <v>642</v>
      </c>
      <c r="I158">
        <v>9.3000000000000007</v>
      </c>
      <c r="J158">
        <v>135462</v>
      </c>
    </row>
    <row r="159" spans="1:10">
      <c r="A159">
        <v>195</v>
      </c>
      <c r="B159" t="s">
        <v>169</v>
      </c>
      <c r="C159">
        <v>2024</v>
      </c>
      <c r="D159" t="s">
        <v>11</v>
      </c>
      <c r="E159" t="s">
        <v>33</v>
      </c>
      <c r="F159" t="s">
        <v>42</v>
      </c>
      <c r="G159" t="s">
        <v>22</v>
      </c>
      <c r="H159" s="4">
        <v>744</v>
      </c>
      <c r="I159">
        <v>12.1</v>
      </c>
      <c r="J159">
        <v>135408</v>
      </c>
    </row>
    <row r="160" spans="1:10">
      <c r="A160">
        <v>313</v>
      </c>
      <c r="B160" t="s">
        <v>10</v>
      </c>
      <c r="C160">
        <v>2024</v>
      </c>
      <c r="D160" t="s">
        <v>11</v>
      </c>
      <c r="E160" t="s">
        <v>20</v>
      </c>
      <c r="F160" t="s">
        <v>49</v>
      </c>
      <c r="G160" t="s">
        <v>27</v>
      </c>
      <c r="H160" s="4">
        <v>728</v>
      </c>
      <c r="I160">
        <v>10.4</v>
      </c>
      <c r="J160">
        <v>135408</v>
      </c>
    </row>
    <row r="161" spans="1:10">
      <c r="A161">
        <v>308</v>
      </c>
      <c r="B161" t="s">
        <v>170</v>
      </c>
      <c r="C161">
        <v>2024</v>
      </c>
      <c r="D161" t="s">
        <v>11</v>
      </c>
      <c r="E161" t="s">
        <v>12</v>
      </c>
      <c r="F161" t="s">
        <v>49</v>
      </c>
      <c r="G161" t="s">
        <v>15</v>
      </c>
      <c r="H161" s="4">
        <v>814</v>
      </c>
      <c r="I161">
        <v>11.7</v>
      </c>
      <c r="J161">
        <v>135124</v>
      </c>
    </row>
    <row r="162" spans="1:10">
      <c r="A162">
        <v>394</v>
      </c>
      <c r="B162" t="s">
        <v>171</v>
      </c>
      <c r="C162">
        <v>2024</v>
      </c>
      <c r="D162" t="s">
        <v>32</v>
      </c>
      <c r="E162" t="s">
        <v>23</v>
      </c>
      <c r="F162" t="s">
        <v>21</v>
      </c>
      <c r="G162" t="s">
        <v>15</v>
      </c>
      <c r="H162" s="4">
        <v>865</v>
      </c>
      <c r="I162">
        <v>13.2</v>
      </c>
      <c r="J162">
        <v>134940</v>
      </c>
    </row>
    <row r="163" spans="1:10">
      <c r="A163">
        <v>231</v>
      </c>
      <c r="B163" t="s">
        <v>172</v>
      </c>
      <c r="C163">
        <v>2024</v>
      </c>
      <c r="D163" t="s">
        <v>85</v>
      </c>
      <c r="E163" t="s">
        <v>12</v>
      </c>
      <c r="F163" t="s">
        <v>14</v>
      </c>
      <c r="G163" t="s">
        <v>26</v>
      </c>
      <c r="H163" s="4">
        <v>1123</v>
      </c>
      <c r="I163">
        <v>8.8000000000000007</v>
      </c>
      <c r="J163">
        <v>134760</v>
      </c>
    </row>
    <row r="164" spans="1:10">
      <c r="A164">
        <v>329</v>
      </c>
      <c r="B164" t="s">
        <v>146</v>
      </c>
      <c r="C164">
        <v>2024</v>
      </c>
      <c r="D164" t="s">
        <v>11</v>
      </c>
      <c r="E164" t="s">
        <v>20</v>
      </c>
      <c r="F164" t="s">
        <v>14</v>
      </c>
      <c r="G164" t="s">
        <v>26</v>
      </c>
      <c r="H164" s="4">
        <v>1024</v>
      </c>
      <c r="I164">
        <v>8.3000000000000007</v>
      </c>
      <c r="J164">
        <v>134144</v>
      </c>
    </row>
    <row r="165" spans="1:10">
      <c r="A165">
        <v>179</v>
      </c>
      <c r="B165" t="s">
        <v>173</v>
      </c>
      <c r="C165">
        <v>2024</v>
      </c>
      <c r="D165" t="s">
        <v>40</v>
      </c>
      <c r="E165" t="s">
        <v>12</v>
      </c>
      <c r="F165" t="s">
        <v>13</v>
      </c>
      <c r="G165" t="s">
        <v>27</v>
      </c>
      <c r="H165" s="4">
        <v>958</v>
      </c>
      <c r="I165">
        <v>7.9</v>
      </c>
      <c r="J165">
        <v>134120</v>
      </c>
    </row>
    <row r="166" spans="1:10">
      <c r="A166">
        <v>196</v>
      </c>
      <c r="B166" t="s">
        <v>174</v>
      </c>
      <c r="C166">
        <v>2024</v>
      </c>
      <c r="D166" t="s">
        <v>19</v>
      </c>
      <c r="E166" t="s">
        <v>12</v>
      </c>
      <c r="F166" t="s">
        <v>51</v>
      </c>
      <c r="G166" t="s">
        <v>27</v>
      </c>
      <c r="H166" s="4">
        <v>924</v>
      </c>
      <c r="I166">
        <v>6.4</v>
      </c>
      <c r="J166">
        <v>133980</v>
      </c>
    </row>
    <row r="167" spans="1:10">
      <c r="A167">
        <v>178</v>
      </c>
      <c r="B167" t="s">
        <v>175</v>
      </c>
      <c r="C167">
        <v>2024</v>
      </c>
      <c r="D167" t="s">
        <v>35</v>
      </c>
      <c r="E167" t="s">
        <v>41</v>
      </c>
      <c r="F167" t="s">
        <v>42</v>
      </c>
      <c r="G167" t="s">
        <v>26</v>
      </c>
      <c r="H167" s="4">
        <v>885</v>
      </c>
      <c r="I167">
        <v>13.3</v>
      </c>
      <c r="J167">
        <v>133635</v>
      </c>
    </row>
    <row r="168" spans="1:10">
      <c r="A168">
        <v>412</v>
      </c>
      <c r="B168" t="s">
        <v>176</v>
      </c>
      <c r="C168">
        <v>2024</v>
      </c>
      <c r="D168" t="s">
        <v>32</v>
      </c>
      <c r="E168" t="s">
        <v>62</v>
      </c>
      <c r="F168" t="s">
        <v>21</v>
      </c>
      <c r="G168" t="s">
        <v>15</v>
      </c>
      <c r="H168" s="4">
        <v>865</v>
      </c>
      <c r="I168">
        <v>13.7</v>
      </c>
      <c r="J168">
        <v>133210</v>
      </c>
    </row>
    <row r="169" spans="1:10">
      <c r="A169">
        <v>428</v>
      </c>
      <c r="B169" t="s">
        <v>177</v>
      </c>
      <c r="C169">
        <v>2024</v>
      </c>
      <c r="D169" t="s">
        <v>44</v>
      </c>
      <c r="E169" t="s">
        <v>12</v>
      </c>
      <c r="F169" t="s">
        <v>21</v>
      </c>
      <c r="G169" t="s">
        <v>14</v>
      </c>
      <c r="H169" s="4">
        <v>1106</v>
      </c>
      <c r="I169">
        <v>4.9000000000000004</v>
      </c>
      <c r="J169">
        <v>132720</v>
      </c>
    </row>
    <row r="170" spans="1:10">
      <c r="A170">
        <v>84</v>
      </c>
      <c r="B170" t="s">
        <v>178</v>
      </c>
      <c r="C170">
        <v>2024</v>
      </c>
      <c r="D170" t="s">
        <v>38</v>
      </c>
      <c r="E170" t="s">
        <v>33</v>
      </c>
      <c r="F170" t="s">
        <v>45</v>
      </c>
      <c r="G170" t="s">
        <v>30</v>
      </c>
      <c r="H170" s="4">
        <v>1004</v>
      </c>
      <c r="I170">
        <v>7.6</v>
      </c>
      <c r="J170">
        <v>132528</v>
      </c>
    </row>
    <row r="171" spans="1:10">
      <c r="A171">
        <v>213</v>
      </c>
      <c r="B171" t="s">
        <v>179</v>
      </c>
      <c r="C171">
        <v>2024</v>
      </c>
      <c r="D171" t="s">
        <v>95</v>
      </c>
      <c r="E171" t="s">
        <v>23</v>
      </c>
      <c r="F171" t="s">
        <v>45</v>
      </c>
      <c r="G171" t="s">
        <v>30</v>
      </c>
      <c r="H171" s="4">
        <v>1068</v>
      </c>
      <c r="I171">
        <v>11.2</v>
      </c>
      <c r="J171">
        <v>132432</v>
      </c>
    </row>
    <row r="172" spans="1:10">
      <c r="A172">
        <v>455</v>
      </c>
      <c r="B172" t="s">
        <v>150</v>
      </c>
      <c r="C172">
        <v>2024</v>
      </c>
      <c r="D172" t="s">
        <v>25</v>
      </c>
      <c r="E172" t="s">
        <v>12</v>
      </c>
      <c r="F172" t="s">
        <v>45</v>
      </c>
      <c r="G172" t="s">
        <v>14</v>
      </c>
      <c r="H172" s="4">
        <v>875</v>
      </c>
      <c r="I172">
        <v>8.6999999999999993</v>
      </c>
      <c r="J172">
        <v>132125</v>
      </c>
    </row>
    <row r="173" spans="1:10">
      <c r="A173">
        <v>15</v>
      </c>
      <c r="B173" t="s">
        <v>171</v>
      </c>
      <c r="C173">
        <v>2024</v>
      </c>
      <c r="D173" t="s">
        <v>32</v>
      </c>
      <c r="E173" t="s">
        <v>20</v>
      </c>
      <c r="F173" t="s">
        <v>42</v>
      </c>
      <c r="G173" t="s">
        <v>30</v>
      </c>
      <c r="H173" s="4">
        <v>592</v>
      </c>
      <c r="I173">
        <v>4.5</v>
      </c>
      <c r="J173">
        <v>132016</v>
      </c>
    </row>
    <row r="174" spans="1:10">
      <c r="A174">
        <v>113</v>
      </c>
      <c r="B174" t="s">
        <v>65</v>
      </c>
      <c r="C174">
        <v>2024</v>
      </c>
      <c r="D174" t="s">
        <v>35</v>
      </c>
      <c r="E174" t="s">
        <v>20</v>
      </c>
      <c r="F174" t="s">
        <v>13</v>
      </c>
      <c r="G174" t="s">
        <v>15</v>
      </c>
      <c r="H174" s="4">
        <v>616</v>
      </c>
      <c r="I174">
        <v>11</v>
      </c>
      <c r="J174">
        <v>131824</v>
      </c>
    </row>
    <row r="175" spans="1:10">
      <c r="A175">
        <v>271</v>
      </c>
      <c r="B175" t="s">
        <v>180</v>
      </c>
      <c r="C175">
        <v>2024</v>
      </c>
      <c r="D175" t="s">
        <v>85</v>
      </c>
      <c r="E175" t="s">
        <v>33</v>
      </c>
      <c r="F175" t="s">
        <v>14</v>
      </c>
      <c r="G175" t="s">
        <v>27</v>
      </c>
      <c r="H175" s="4">
        <v>769</v>
      </c>
      <c r="I175">
        <v>7.9</v>
      </c>
      <c r="J175">
        <v>130730</v>
      </c>
    </row>
    <row r="176" spans="1:10">
      <c r="A176">
        <v>260</v>
      </c>
      <c r="B176" t="s">
        <v>181</v>
      </c>
      <c r="C176">
        <v>2024</v>
      </c>
      <c r="D176" t="s">
        <v>19</v>
      </c>
      <c r="E176" t="s">
        <v>36</v>
      </c>
      <c r="F176" t="s">
        <v>49</v>
      </c>
      <c r="G176" t="s">
        <v>30</v>
      </c>
      <c r="H176" s="4">
        <v>543</v>
      </c>
      <c r="I176">
        <v>11.1</v>
      </c>
      <c r="J176">
        <v>130320</v>
      </c>
    </row>
    <row r="177" spans="1:10">
      <c r="A177">
        <v>243</v>
      </c>
      <c r="B177" t="s">
        <v>182</v>
      </c>
      <c r="C177">
        <v>2024</v>
      </c>
      <c r="D177" t="s">
        <v>19</v>
      </c>
      <c r="E177" t="s">
        <v>12</v>
      </c>
      <c r="F177" t="s">
        <v>42</v>
      </c>
      <c r="G177" t="s">
        <v>30</v>
      </c>
      <c r="H177" s="4">
        <v>1010</v>
      </c>
      <c r="I177">
        <v>12.9</v>
      </c>
      <c r="J177">
        <v>130290</v>
      </c>
    </row>
    <row r="178" spans="1:10">
      <c r="A178">
        <v>492</v>
      </c>
      <c r="B178" t="s">
        <v>183</v>
      </c>
      <c r="C178">
        <v>2024</v>
      </c>
      <c r="D178" t="s">
        <v>55</v>
      </c>
      <c r="E178" t="s">
        <v>33</v>
      </c>
      <c r="F178" t="s">
        <v>42</v>
      </c>
      <c r="G178" t="s">
        <v>26</v>
      </c>
      <c r="H178" s="4">
        <v>908</v>
      </c>
      <c r="I178">
        <v>5.5</v>
      </c>
      <c r="J178">
        <v>129844</v>
      </c>
    </row>
    <row r="179" spans="1:10">
      <c r="A179">
        <v>105</v>
      </c>
      <c r="B179" t="s">
        <v>139</v>
      </c>
      <c r="C179">
        <v>2024</v>
      </c>
      <c r="D179" t="s">
        <v>40</v>
      </c>
      <c r="E179" t="s">
        <v>20</v>
      </c>
      <c r="F179" t="s">
        <v>21</v>
      </c>
      <c r="G179" t="s">
        <v>27</v>
      </c>
      <c r="H179" s="4">
        <v>776</v>
      </c>
      <c r="I179">
        <v>11.8</v>
      </c>
      <c r="J179">
        <v>129592</v>
      </c>
    </row>
    <row r="180" spans="1:10">
      <c r="A180">
        <v>499</v>
      </c>
      <c r="B180" t="s">
        <v>74</v>
      </c>
      <c r="C180">
        <v>2024</v>
      </c>
      <c r="D180" t="s">
        <v>55</v>
      </c>
      <c r="E180" t="s">
        <v>36</v>
      </c>
      <c r="F180" t="s">
        <v>51</v>
      </c>
      <c r="G180" t="s">
        <v>30</v>
      </c>
      <c r="H180" s="4">
        <v>820</v>
      </c>
      <c r="I180">
        <v>12.3</v>
      </c>
      <c r="J180">
        <v>129560</v>
      </c>
    </row>
    <row r="181" spans="1:10">
      <c r="A181">
        <v>263</v>
      </c>
      <c r="B181" t="s">
        <v>184</v>
      </c>
      <c r="C181">
        <v>2024</v>
      </c>
      <c r="D181" t="s">
        <v>25</v>
      </c>
      <c r="E181" t="s">
        <v>41</v>
      </c>
      <c r="F181" t="s">
        <v>49</v>
      </c>
      <c r="G181" t="s">
        <v>15</v>
      </c>
      <c r="H181" s="4">
        <v>987</v>
      </c>
      <c r="I181">
        <v>3.4</v>
      </c>
      <c r="J181">
        <v>129297</v>
      </c>
    </row>
    <row r="182" spans="1:10">
      <c r="A182">
        <v>247</v>
      </c>
      <c r="B182" t="s">
        <v>53</v>
      </c>
      <c r="C182">
        <v>2024</v>
      </c>
      <c r="D182" t="s">
        <v>32</v>
      </c>
      <c r="E182" t="s">
        <v>23</v>
      </c>
      <c r="F182" t="s">
        <v>49</v>
      </c>
      <c r="G182" t="s">
        <v>14</v>
      </c>
      <c r="H182" s="4">
        <v>608</v>
      </c>
      <c r="I182">
        <v>7.9</v>
      </c>
      <c r="J182">
        <v>128288</v>
      </c>
    </row>
    <row r="183" spans="1:10">
      <c r="A183">
        <v>334</v>
      </c>
      <c r="B183" t="s">
        <v>185</v>
      </c>
      <c r="C183">
        <v>2024</v>
      </c>
      <c r="D183" t="s">
        <v>38</v>
      </c>
      <c r="E183" t="s">
        <v>62</v>
      </c>
      <c r="F183" t="s">
        <v>14</v>
      </c>
      <c r="G183" t="s">
        <v>15</v>
      </c>
      <c r="H183" s="4">
        <v>1123</v>
      </c>
      <c r="I183">
        <v>8.4</v>
      </c>
      <c r="J183">
        <v>128022</v>
      </c>
    </row>
    <row r="184" spans="1:10">
      <c r="A184">
        <v>58</v>
      </c>
      <c r="B184" t="s">
        <v>186</v>
      </c>
      <c r="C184">
        <v>2024</v>
      </c>
      <c r="D184" t="s">
        <v>19</v>
      </c>
      <c r="E184" t="s">
        <v>20</v>
      </c>
      <c r="F184" t="s">
        <v>51</v>
      </c>
      <c r="G184" t="s">
        <v>27</v>
      </c>
      <c r="H184" s="4">
        <v>893</v>
      </c>
      <c r="I184">
        <v>11.8</v>
      </c>
      <c r="J184">
        <v>127699</v>
      </c>
    </row>
    <row r="185" spans="1:10">
      <c r="A185">
        <v>453</v>
      </c>
      <c r="B185" t="s">
        <v>187</v>
      </c>
      <c r="C185">
        <v>2024</v>
      </c>
      <c r="D185" t="s">
        <v>55</v>
      </c>
      <c r="E185" t="s">
        <v>62</v>
      </c>
      <c r="F185" t="s">
        <v>51</v>
      </c>
      <c r="G185" t="s">
        <v>30</v>
      </c>
      <c r="H185" s="4">
        <v>709</v>
      </c>
      <c r="I185">
        <v>12.1</v>
      </c>
      <c r="J185">
        <v>127620</v>
      </c>
    </row>
    <row r="186" spans="1:10">
      <c r="A186">
        <v>128</v>
      </c>
      <c r="B186" t="s">
        <v>37</v>
      </c>
      <c r="C186">
        <v>2024</v>
      </c>
      <c r="D186" t="s">
        <v>38</v>
      </c>
      <c r="E186" t="s">
        <v>20</v>
      </c>
      <c r="F186" t="s">
        <v>42</v>
      </c>
      <c r="G186" t="s">
        <v>14</v>
      </c>
      <c r="H186" s="4">
        <v>641</v>
      </c>
      <c r="I186">
        <v>7.8</v>
      </c>
      <c r="J186">
        <v>127559</v>
      </c>
    </row>
    <row r="187" spans="1:10">
      <c r="A187">
        <v>469</v>
      </c>
      <c r="B187" t="s">
        <v>188</v>
      </c>
      <c r="C187">
        <v>2024</v>
      </c>
      <c r="D187" t="s">
        <v>32</v>
      </c>
      <c r="E187" t="s">
        <v>23</v>
      </c>
      <c r="F187" t="s">
        <v>45</v>
      </c>
      <c r="G187" t="s">
        <v>30</v>
      </c>
      <c r="H187" s="4">
        <v>951</v>
      </c>
      <c r="I187">
        <v>6.9</v>
      </c>
      <c r="J187">
        <v>127434</v>
      </c>
    </row>
    <row r="188" spans="1:10">
      <c r="A188">
        <v>266</v>
      </c>
      <c r="B188" t="s">
        <v>189</v>
      </c>
      <c r="C188">
        <v>2024</v>
      </c>
      <c r="D188" t="s">
        <v>95</v>
      </c>
      <c r="E188" t="s">
        <v>33</v>
      </c>
      <c r="F188" t="s">
        <v>45</v>
      </c>
      <c r="G188" t="s">
        <v>27</v>
      </c>
      <c r="H188" s="4">
        <v>729</v>
      </c>
      <c r="I188">
        <v>6</v>
      </c>
      <c r="J188">
        <v>126846</v>
      </c>
    </row>
    <row r="189" spans="1:10">
      <c r="A189">
        <v>429</v>
      </c>
      <c r="B189" t="s">
        <v>102</v>
      </c>
      <c r="C189">
        <v>2024</v>
      </c>
      <c r="D189" t="s">
        <v>85</v>
      </c>
      <c r="E189" t="s">
        <v>23</v>
      </c>
      <c r="F189" t="s">
        <v>51</v>
      </c>
      <c r="G189" t="s">
        <v>27</v>
      </c>
      <c r="H189" s="4">
        <v>524</v>
      </c>
      <c r="I189">
        <v>11.8</v>
      </c>
      <c r="J189">
        <v>126284</v>
      </c>
    </row>
    <row r="190" spans="1:10">
      <c r="A190">
        <v>138</v>
      </c>
      <c r="B190" t="s">
        <v>163</v>
      </c>
      <c r="C190">
        <v>2024</v>
      </c>
      <c r="D190" t="s">
        <v>61</v>
      </c>
      <c r="E190" t="s">
        <v>20</v>
      </c>
      <c r="F190" t="s">
        <v>21</v>
      </c>
      <c r="G190" t="s">
        <v>15</v>
      </c>
      <c r="H190" s="4">
        <v>955</v>
      </c>
      <c r="I190">
        <v>11.4</v>
      </c>
      <c r="J190">
        <v>126060</v>
      </c>
    </row>
    <row r="191" spans="1:10">
      <c r="A191">
        <v>44</v>
      </c>
      <c r="B191" t="s">
        <v>126</v>
      </c>
      <c r="C191">
        <v>2024</v>
      </c>
      <c r="D191" t="s">
        <v>55</v>
      </c>
      <c r="E191" t="s">
        <v>23</v>
      </c>
      <c r="F191" t="s">
        <v>42</v>
      </c>
      <c r="G191" t="s">
        <v>27</v>
      </c>
      <c r="H191" s="4">
        <v>693</v>
      </c>
      <c r="I191">
        <v>5.6</v>
      </c>
      <c r="J191">
        <v>125433</v>
      </c>
    </row>
    <row r="192" spans="1:10">
      <c r="A192">
        <v>373</v>
      </c>
      <c r="B192" t="s">
        <v>190</v>
      </c>
      <c r="C192">
        <v>2024</v>
      </c>
      <c r="D192" t="s">
        <v>38</v>
      </c>
      <c r="E192" t="s">
        <v>62</v>
      </c>
      <c r="F192" t="s">
        <v>21</v>
      </c>
      <c r="G192" t="s">
        <v>27</v>
      </c>
      <c r="H192" s="4">
        <v>708</v>
      </c>
      <c r="I192">
        <v>11.5</v>
      </c>
      <c r="J192">
        <v>125316</v>
      </c>
    </row>
    <row r="193" spans="1:10">
      <c r="A193">
        <v>109</v>
      </c>
      <c r="B193" t="s">
        <v>191</v>
      </c>
      <c r="C193">
        <v>2024</v>
      </c>
      <c r="D193" t="s">
        <v>55</v>
      </c>
      <c r="E193" t="s">
        <v>12</v>
      </c>
      <c r="F193" t="s">
        <v>45</v>
      </c>
      <c r="G193" t="s">
        <v>30</v>
      </c>
      <c r="H193" s="4">
        <v>548</v>
      </c>
      <c r="I193">
        <v>6.4</v>
      </c>
      <c r="J193">
        <v>124944</v>
      </c>
    </row>
    <row r="194" spans="1:10">
      <c r="A194">
        <v>290</v>
      </c>
      <c r="B194" t="s">
        <v>192</v>
      </c>
      <c r="C194">
        <v>2024</v>
      </c>
      <c r="D194" t="s">
        <v>25</v>
      </c>
      <c r="E194" t="s">
        <v>20</v>
      </c>
      <c r="F194" t="s">
        <v>51</v>
      </c>
      <c r="G194" t="s">
        <v>27</v>
      </c>
      <c r="H194" s="4">
        <v>563</v>
      </c>
      <c r="I194">
        <v>5.2</v>
      </c>
      <c r="J194">
        <v>124423</v>
      </c>
    </row>
    <row r="195" spans="1:10">
      <c r="A195">
        <v>158</v>
      </c>
      <c r="B195" t="s">
        <v>193</v>
      </c>
      <c r="C195">
        <v>2024</v>
      </c>
      <c r="D195" t="s">
        <v>44</v>
      </c>
      <c r="E195" t="s">
        <v>48</v>
      </c>
      <c r="F195" t="s">
        <v>45</v>
      </c>
      <c r="G195" t="s">
        <v>27</v>
      </c>
      <c r="H195" s="4">
        <v>1069</v>
      </c>
      <c r="I195">
        <v>13</v>
      </c>
      <c r="J195">
        <v>124004</v>
      </c>
    </row>
    <row r="196" spans="1:10">
      <c r="A196">
        <v>86</v>
      </c>
      <c r="B196" t="s">
        <v>80</v>
      </c>
      <c r="C196">
        <v>2024</v>
      </c>
      <c r="D196" t="s">
        <v>19</v>
      </c>
      <c r="E196" t="s">
        <v>48</v>
      </c>
      <c r="F196" t="s">
        <v>45</v>
      </c>
      <c r="G196" t="s">
        <v>15</v>
      </c>
      <c r="H196" s="4">
        <v>661</v>
      </c>
      <c r="I196">
        <v>11.3</v>
      </c>
      <c r="J196">
        <v>123607</v>
      </c>
    </row>
    <row r="197" spans="1:10">
      <c r="A197">
        <v>156</v>
      </c>
      <c r="B197" t="s">
        <v>194</v>
      </c>
      <c r="C197">
        <v>2024</v>
      </c>
      <c r="D197" t="s">
        <v>95</v>
      </c>
      <c r="E197" t="s">
        <v>23</v>
      </c>
      <c r="F197" t="s">
        <v>51</v>
      </c>
      <c r="G197" t="s">
        <v>30</v>
      </c>
      <c r="H197" s="4">
        <v>650</v>
      </c>
      <c r="I197">
        <v>6.9</v>
      </c>
      <c r="J197">
        <v>123500</v>
      </c>
    </row>
    <row r="198" spans="1:10">
      <c r="A198">
        <v>350</v>
      </c>
      <c r="B198" t="s">
        <v>128</v>
      </c>
      <c r="C198">
        <v>2024</v>
      </c>
      <c r="D198" t="s">
        <v>55</v>
      </c>
      <c r="E198" t="s">
        <v>20</v>
      </c>
      <c r="F198" t="s">
        <v>49</v>
      </c>
      <c r="G198" t="s">
        <v>22</v>
      </c>
      <c r="H198" s="4">
        <v>681</v>
      </c>
      <c r="I198">
        <v>11</v>
      </c>
      <c r="J198">
        <v>123261</v>
      </c>
    </row>
    <row r="199" spans="1:10">
      <c r="A199">
        <v>422</v>
      </c>
      <c r="B199" t="s">
        <v>195</v>
      </c>
      <c r="C199">
        <v>2024</v>
      </c>
      <c r="D199" t="s">
        <v>25</v>
      </c>
      <c r="E199" t="s">
        <v>48</v>
      </c>
      <c r="F199" t="s">
        <v>45</v>
      </c>
      <c r="G199" t="s">
        <v>26</v>
      </c>
      <c r="H199" s="4">
        <v>579</v>
      </c>
      <c r="I199">
        <v>5.4</v>
      </c>
      <c r="J199">
        <v>122748</v>
      </c>
    </row>
    <row r="200" spans="1:10">
      <c r="A200">
        <v>406</v>
      </c>
      <c r="B200" t="s">
        <v>196</v>
      </c>
      <c r="C200">
        <v>2024</v>
      </c>
      <c r="D200" t="s">
        <v>32</v>
      </c>
      <c r="E200" t="s">
        <v>20</v>
      </c>
      <c r="F200" t="s">
        <v>14</v>
      </c>
      <c r="G200" t="s">
        <v>14</v>
      </c>
      <c r="H200" s="4">
        <v>829</v>
      </c>
      <c r="I200">
        <v>4.9000000000000004</v>
      </c>
      <c r="J200">
        <v>122692</v>
      </c>
    </row>
    <row r="201" spans="1:10">
      <c r="A201">
        <v>375</v>
      </c>
      <c r="B201" t="s">
        <v>129</v>
      </c>
      <c r="C201">
        <v>2024</v>
      </c>
      <c r="D201" t="s">
        <v>85</v>
      </c>
      <c r="E201" t="s">
        <v>12</v>
      </c>
      <c r="F201" t="s">
        <v>45</v>
      </c>
      <c r="G201" t="s">
        <v>22</v>
      </c>
      <c r="H201" s="4">
        <v>705</v>
      </c>
      <c r="I201">
        <v>13.1</v>
      </c>
      <c r="J201">
        <v>122670</v>
      </c>
    </row>
    <row r="202" spans="1:10">
      <c r="A202">
        <v>295</v>
      </c>
      <c r="B202" t="s">
        <v>197</v>
      </c>
      <c r="C202">
        <v>2024</v>
      </c>
      <c r="D202" t="s">
        <v>44</v>
      </c>
      <c r="E202" t="s">
        <v>20</v>
      </c>
      <c r="F202" t="s">
        <v>45</v>
      </c>
      <c r="G202" t="s">
        <v>22</v>
      </c>
      <c r="H202" s="4">
        <v>668</v>
      </c>
      <c r="I202">
        <v>8.3000000000000007</v>
      </c>
      <c r="J202">
        <v>122244</v>
      </c>
    </row>
    <row r="203" spans="1:10">
      <c r="A203">
        <v>174</v>
      </c>
      <c r="B203" t="s">
        <v>198</v>
      </c>
      <c r="C203">
        <v>2024</v>
      </c>
      <c r="D203" t="s">
        <v>19</v>
      </c>
      <c r="E203" t="s">
        <v>62</v>
      </c>
      <c r="F203" t="s">
        <v>42</v>
      </c>
      <c r="G203" t="s">
        <v>26</v>
      </c>
      <c r="H203" s="4">
        <v>503</v>
      </c>
      <c r="I203">
        <v>10.1</v>
      </c>
      <c r="J203">
        <v>121726</v>
      </c>
    </row>
    <row r="204" spans="1:10">
      <c r="A204">
        <v>259</v>
      </c>
      <c r="B204" t="s">
        <v>100</v>
      </c>
      <c r="C204">
        <v>2024</v>
      </c>
      <c r="D204" t="s">
        <v>95</v>
      </c>
      <c r="E204" t="s">
        <v>41</v>
      </c>
      <c r="F204" t="s">
        <v>14</v>
      </c>
      <c r="G204" t="s">
        <v>22</v>
      </c>
      <c r="H204" s="4">
        <v>842</v>
      </c>
      <c r="I204">
        <v>13.8</v>
      </c>
      <c r="J204">
        <v>121248</v>
      </c>
    </row>
    <row r="205" spans="1:10">
      <c r="A205">
        <v>64</v>
      </c>
      <c r="B205" t="s">
        <v>199</v>
      </c>
      <c r="C205">
        <v>2024</v>
      </c>
      <c r="D205" t="s">
        <v>85</v>
      </c>
      <c r="E205" t="s">
        <v>33</v>
      </c>
      <c r="F205" t="s">
        <v>21</v>
      </c>
      <c r="G205" t="s">
        <v>30</v>
      </c>
      <c r="H205" s="4">
        <v>757</v>
      </c>
      <c r="I205">
        <v>11</v>
      </c>
      <c r="J205">
        <v>121120</v>
      </c>
    </row>
    <row r="206" spans="1:10">
      <c r="A206">
        <v>310</v>
      </c>
      <c r="B206" t="s">
        <v>186</v>
      </c>
      <c r="C206">
        <v>2024</v>
      </c>
      <c r="D206" t="s">
        <v>19</v>
      </c>
      <c r="E206" t="s">
        <v>23</v>
      </c>
      <c r="F206" t="s">
        <v>14</v>
      </c>
      <c r="G206" t="s">
        <v>30</v>
      </c>
      <c r="H206" s="4">
        <v>1020</v>
      </c>
      <c r="I206">
        <v>8.6999999999999993</v>
      </c>
      <c r="J206">
        <v>120360</v>
      </c>
    </row>
    <row r="207" spans="1:10">
      <c r="A207">
        <v>279</v>
      </c>
      <c r="B207" t="s">
        <v>200</v>
      </c>
      <c r="C207">
        <v>2024</v>
      </c>
      <c r="D207" t="s">
        <v>44</v>
      </c>
      <c r="E207" t="s">
        <v>36</v>
      </c>
      <c r="F207" t="s">
        <v>45</v>
      </c>
      <c r="G207" t="s">
        <v>15</v>
      </c>
      <c r="H207" s="4">
        <v>1055</v>
      </c>
      <c r="I207">
        <v>5.2</v>
      </c>
      <c r="J207">
        <v>120270</v>
      </c>
    </row>
    <row r="208" spans="1:10">
      <c r="A208">
        <v>238</v>
      </c>
      <c r="B208" t="s">
        <v>201</v>
      </c>
      <c r="C208">
        <v>2024</v>
      </c>
      <c r="D208" t="s">
        <v>19</v>
      </c>
      <c r="E208" t="s">
        <v>23</v>
      </c>
      <c r="F208" t="s">
        <v>13</v>
      </c>
      <c r="G208" t="s">
        <v>26</v>
      </c>
      <c r="H208" s="4">
        <v>1045</v>
      </c>
      <c r="I208">
        <v>5.0999999999999996</v>
      </c>
      <c r="J208">
        <v>120175</v>
      </c>
    </row>
    <row r="209" spans="1:10">
      <c r="A209">
        <v>317</v>
      </c>
      <c r="B209" t="s">
        <v>174</v>
      </c>
      <c r="C209">
        <v>2024</v>
      </c>
      <c r="D209" t="s">
        <v>19</v>
      </c>
      <c r="E209" t="s">
        <v>33</v>
      </c>
      <c r="F209" t="s">
        <v>21</v>
      </c>
      <c r="G209" t="s">
        <v>30</v>
      </c>
      <c r="H209" s="4">
        <v>907</v>
      </c>
      <c r="I209">
        <v>4.7</v>
      </c>
      <c r="J209">
        <v>119724</v>
      </c>
    </row>
    <row r="210" spans="1:10">
      <c r="A210">
        <v>206</v>
      </c>
      <c r="B210" t="s">
        <v>202</v>
      </c>
      <c r="C210">
        <v>2024</v>
      </c>
      <c r="D210" t="s">
        <v>85</v>
      </c>
      <c r="E210" t="s">
        <v>12</v>
      </c>
      <c r="F210" t="s">
        <v>49</v>
      </c>
      <c r="G210" t="s">
        <v>30</v>
      </c>
      <c r="H210" s="4">
        <v>748</v>
      </c>
      <c r="I210">
        <v>4.7</v>
      </c>
      <c r="J210">
        <v>118932</v>
      </c>
    </row>
    <row r="211" spans="1:10">
      <c r="A211">
        <v>398</v>
      </c>
      <c r="B211" t="s">
        <v>203</v>
      </c>
      <c r="C211">
        <v>2024</v>
      </c>
      <c r="D211" t="s">
        <v>95</v>
      </c>
      <c r="E211" t="s">
        <v>62</v>
      </c>
      <c r="F211" t="s">
        <v>51</v>
      </c>
      <c r="G211" t="s">
        <v>26</v>
      </c>
      <c r="H211" s="4">
        <v>609</v>
      </c>
      <c r="I211">
        <v>11.6</v>
      </c>
      <c r="J211">
        <v>118755</v>
      </c>
    </row>
    <row r="212" spans="1:10">
      <c r="A212">
        <v>172</v>
      </c>
      <c r="B212" t="s">
        <v>202</v>
      </c>
      <c r="C212">
        <v>2024</v>
      </c>
      <c r="D212" t="s">
        <v>85</v>
      </c>
      <c r="E212" t="s">
        <v>33</v>
      </c>
      <c r="F212" t="s">
        <v>49</v>
      </c>
      <c r="G212" t="s">
        <v>27</v>
      </c>
      <c r="H212" s="4">
        <v>804</v>
      </c>
      <c r="I212">
        <v>10.4</v>
      </c>
      <c r="J212">
        <v>118188</v>
      </c>
    </row>
    <row r="213" spans="1:10">
      <c r="A213">
        <v>377</v>
      </c>
      <c r="B213" t="s">
        <v>204</v>
      </c>
      <c r="C213">
        <v>2024</v>
      </c>
      <c r="D213" t="s">
        <v>38</v>
      </c>
      <c r="E213" t="s">
        <v>12</v>
      </c>
      <c r="F213" t="s">
        <v>51</v>
      </c>
      <c r="G213" t="s">
        <v>14</v>
      </c>
      <c r="H213" s="4">
        <v>905</v>
      </c>
      <c r="I213">
        <v>6.2</v>
      </c>
      <c r="J213">
        <v>117650</v>
      </c>
    </row>
    <row r="214" spans="1:10">
      <c r="A214">
        <v>303</v>
      </c>
      <c r="B214" t="s">
        <v>50</v>
      </c>
      <c r="C214">
        <v>2024</v>
      </c>
      <c r="D214" t="s">
        <v>38</v>
      </c>
      <c r="E214" t="s">
        <v>62</v>
      </c>
      <c r="F214" t="s">
        <v>21</v>
      </c>
      <c r="G214" t="s">
        <v>27</v>
      </c>
      <c r="H214" s="4">
        <v>772</v>
      </c>
      <c r="I214">
        <v>3.5</v>
      </c>
      <c r="J214">
        <v>117344</v>
      </c>
    </row>
    <row r="215" spans="1:10">
      <c r="A215">
        <v>328</v>
      </c>
      <c r="B215" t="s">
        <v>205</v>
      </c>
      <c r="C215">
        <v>2024</v>
      </c>
      <c r="D215" t="s">
        <v>19</v>
      </c>
      <c r="E215" t="s">
        <v>41</v>
      </c>
      <c r="F215" t="s">
        <v>21</v>
      </c>
      <c r="G215" t="s">
        <v>15</v>
      </c>
      <c r="H215" s="4">
        <v>1017</v>
      </c>
      <c r="I215">
        <v>4.0999999999999996</v>
      </c>
      <c r="J215">
        <v>116955</v>
      </c>
    </row>
    <row r="216" spans="1:10">
      <c r="A216">
        <v>38</v>
      </c>
      <c r="B216" t="s">
        <v>206</v>
      </c>
      <c r="C216">
        <v>2024</v>
      </c>
      <c r="D216" t="s">
        <v>11</v>
      </c>
      <c r="E216" t="s">
        <v>20</v>
      </c>
      <c r="F216" t="s">
        <v>45</v>
      </c>
      <c r="G216" t="s">
        <v>27</v>
      </c>
      <c r="H216" s="4">
        <v>593</v>
      </c>
      <c r="I216">
        <v>13.2</v>
      </c>
      <c r="J216">
        <v>116228</v>
      </c>
    </row>
    <row r="217" spans="1:10">
      <c r="A217">
        <v>419</v>
      </c>
      <c r="B217" t="s">
        <v>70</v>
      </c>
      <c r="C217">
        <v>2024</v>
      </c>
      <c r="D217" t="s">
        <v>55</v>
      </c>
      <c r="E217" t="s">
        <v>36</v>
      </c>
      <c r="F217" t="s">
        <v>49</v>
      </c>
      <c r="G217" t="s">
        <v>15</v>
      </c>
      <c r="H217" s="4">
        <v>1149</v>
      </c>
      <c r="I217">
        <v>9.5</v>
      </c>
      <c r="J217">
        <v>116049</v>
      </c>
    </row>
    <row r="218" spans="1:10">
      <c r="A218">
        <v>202</v>
      </c>
      <c r="B218" t="s">
        <v>137</v>
      </c>
      <c r="C218">
        <v>2024</v>
      </c>
      <c r="D218" t="s">
        <v>38</v>
      </c>
      <c r="E218" t="s">
        <v>41</v>
      </c>
      <c r="F218" t="s">
        <v>21</v>
      </c>
      <c r="G218" t="s">
        <v>27</v>
      </c>
      <c r="H218" s="4">
        <v>513</v>
      </c>
      <c r="I218">
        <v>11.9</v>
      </c>
      <c r="J218">
        <v>114399</v>
      </c>
    </row>
    <row r="219" spans="1:10">
      <c r="A219">
        <v>431</v>
      </c>
      <c r="B219" t="s">
        <v>96</v>
      </c>
      <c r="C219">
        <v>2024</v>
      </c>
      <c r="D219" t="s">
        <v>85</v>
      </c>
      <c r="E219" t="s">
        <v>48</v>
      </c>
      <c r="F219" t="s">
        <v>14</v>
      </c>
      <c r="G219" t="s">
        <v>27</v>
      </c>
      <c r="H219" s="4">
        <v>846</v>
      </c>
      <c r="I219">
        <v>3</v>
      </c>
      <c r="J219">
        <v>113364</v>
      </c>
    </row>
    <row r="220" spans="1:10">
      <c r="A220">
        <v>339</v>
      </c>
      <c r="B220" t="s">
        <v>179</v>
      </c>
      <c r="C220">
        <v>2024</v>
      </c>
      <c r="D220" t="s">
        <v>95</v>
      </c>
      <c r="E220" t="s">
        <v>20</v>
      </c>
      <c r="F220" t="s">
        <v>14</v>
      </c>
      <c r="G220" t="s">
        <v>26</v>
      </c>
      <c r="H220" s="4">
        <v>584</v>
      </c>
      <c r="I220">
        <v>7.2</v>
      </c>
      <c r="J220">
        <v>113296</v>
      </c>
    </row>
    <row r="221" spans="1:10">
      <c r="A221">
        <v>408</v>
      </c>
      <c r="B221" t="s">
        <v>207</v>
      </c>
      <c r="C221">
        <v>2024</v>
      </c>
      <c r="D221" t="s">
        <v>25</v>
      </c>
      <c r="E221" t="s">
        <v>62</v>
      </c>
      <c r="F221" t="s">
        <v>21</v>
      </c>
      <c r="G221" t="s">
        <v>30</v>
      </c>
      <c r="H221" s="4">
        <v>789</v>
      </c>
      <c r="I221">
        <v>5.8</v>
      </c>
      <c r="J221">
        <v>112827</v>
      </c>
    </row>
    <row r="222" spans="1:10">
      <c r="A222">
        <v>268</v>
      </c>
      <c r="B222" t="s">
        <v>10</v>
      </c>
      <c r="C222">
        <v>2024</v>
      </c>
      <c r="D222" t="s">
        <v>11</v>
      </c>
      <c r="E222" t="s">
        <v>33</v>
      </c>
      <c r="F222" t="s">
        <v>13</v>
      </c>
      <c r="G222" t="s">
        <v>14</v>
      </c>
      <c r="H222" s="4">
        <v>1113</v>
      </c>
      <c r="I222">
        <v>5.9</v>
      </c>
      <c r="J222">
        <v>112413</v>
      </c>
    </row>
    <row r="223" spans="1:10">
      <c r="A223">
        <v>153</v>
      </c>
      <c r="B223" t="s">
        <v>208</v>
      </c>
      <c r="C223">
        <v>2024</v>
      </c>
      <c r="D223" t="s">
        <v>35</v>
      </c>
      <c r="E223" t="s">
        <v>48</v>
      </c>
      <c r="F223" t="s">
        <v>42</v>
      </c>
      <c r="G223" t="s">
        <v>27</v>
      </c>
      <c r="H223" s="4">
        <v>1158</v>
      </c>
      <c r="I223">
        <v>3.4</v>
      </c>
      <c r="J223">
        <v>112326</v>
      </c>
    </row>
    <row r="224" spans="1:10">
      <c r="A224">
        <v>68</v>
      </c>
      <c r="B224" t="s">
        <v>57</v>
      </c>
      <c r="C224">
        <v>2024</v>
      </c>
      <c r="D224" t="s">
        <v>35</v>
      </c>
      <c r="E224" t="s">
        <v>33</v>
      </c>
      <c r="F224" t="s">
        <v>42</v>
      </c>
      <c r="G224" t="s">
        <v>26</v>
      </c>
      <c r="H224" s="4">
        <v>683</v>
      </c>
      <c r="I224">
        <v>10.3</v>
      </c>
      <c r="J224">
        <v>111329</v>
      </c>
    </row>
    <row r="225" spans="1:10">
      <c r="A225">
        <v>448</v>
      </c>
      <c r="B225" t="s">
        <v>108</v>
      </c>
      <c r="C225">
        <v>2024</v>
      </c>
      <c r="D225" t="s">
        <v>44</v>
      </c>
      <c r="E225" t="s">
        <v>12</v>
      </c>
      <c r="F225" t="s">
        <v>49</v>
      </c>
      <c r="G225" t="s">
        <v>27</v>
      </c>
      <c r="H225" s="4">
        <v>479</v>
      </c>
      <c r="I225">
        <v>11.9</v>
      </c>
      <c r="J225">
        <v>110170</v>
      </c>
    </row>
    <row r="226" spans="1:10">
      <c r="A226">
        <v>5</v>
      </c>
      <c r="B226" t="s">
        <v>209</v>
      </c>
      <c r="C226">
        <v>2024</v>
      </c>
      <c r="D226" t="s">
        <v>32</v>
      </c>
      <c r="E226" t="s">
        <v>48</v>
      </c>
      <c r="F226" t="s">
        <v>49</v>
      </c>
      <c r="G226" t="s">
        <v>26</v>
      </c>
      <c r="H226" s="4">
        <v>915</v>
      </c>
      <c r="I226">
        <v>6.7</v>
      </c>
      <c r="J226">
        <v>108885</v>
      </c>
    </row>
    <row r="227" spans="1:10">
      <c r="A227">
        <v>300</v>
      </c>
      <c r="B227" t="s">
        <v>210</v>
      </c>
      <c r="C227">
        <v>2024</v>
      </c>
      <c r="D227" t="s">
        <v>61</v>
      </c>
      <c r="E227" t="s">
        <v>12</v>
      </c>
      <c r="F227" t="s">
        <v>21</v>
      </c>
      <c r="G227" t="s">
        <v>27</v>
      </c>
      <c r="H227" s="4">
        <v>906</v>
      </c>
      <c r="I227">
        <v>5.7</v>
      </c>
      <c r="J227">
        <v>108720</v>
      </c>
    </row>
    <row r="228" spans="1:10">
      <c r="A228">
        <v>65</v>
      </c>
      <c r="B228" t="s">
        <v>211</v>
      </c>
      <c r="C228">
        <v>2024</v>
      </c>
      <c r="D228" t="s">
        <v>25</v>
      </c>
      <c r="E228" t="s">
        <v>20</v>
      </c>
      <c r="F228" t="s">
        <v>13</v>
      </c>
      <c r="G228" t="s">
        <v>27</v>
      </c>
      <c r="H228" s="4">
        <v>838</v>
      </c>
      <c r="I228">
        <v>12.9</v>
      </c>
      <c r="J228">
        <v>107264</v>
      </c>
    </row>
    <row r="229" spans="1:10">
      <c r="A229">
        <v>267</v>
      </c>
      <c r="B229" t="s">
        <v>119</v>
      </c>
      <c r="C229">
        <v>2024</v>
      </c>
      <c r="D229" t="s">
        <v>85</v>
      </c>
      <c r="E229" t="s">
        <v>62</v>
      </c>
      <c r="F229" t="s">
        <v>42</v>
      </c>
      <c r="G229" t="s">
        <v>14</v>
      </c>
      <c r="H229" s="4">
        <v>841</v>
      </c>
      <c r="I229">
        <v>6.7</v>
      </c>
      <c r="J229">
        <v>106807</v>
      </c>
    </row>
    <row r="230" spans="1:10">
      <c r="A230">
        <v>449</v>
      </c>
      <c r="B230" t="s">
        <v>154</v>
      </c>
      <c r="C230">
        <v>2024</v>
      </c>
      <c r="D230" t="s">
        <v>61</v>
      </c>
      <c r="E230" t="s">
        <v>48</v>
      </c>
      <c r="F230" t="s">
        <v>49</v>
      </c>
      <c r="G230" t="s">
        <v>15</v>
      </c>
      <c r="H230" s="4">
        <v>926</v>
      </c>
      <c r="I230">
        <v>4.8</v>
      </c>
      <c r="J230">
        <v>106490</v>
      </c>
    </row>
    <row r="231" spans="1:10">
      <c r="A231">
        <v>454</v>
      </c>
      <c r="B231" t="s">
        <v>212</v>
      </c>
      <c r="C231">
        <v>2024</v>
      </c>
      <c r="D231" t="s">
        <v>61</v>
      </c>
      <c r="E231" t="s">
        <v>62</v>
      </c>
      <c r="F231" t="s">
        <v>13</v>
      </c>
      <c r="G231" t="s">
        <v>27</v>
      </c>
      <c r="H231" s="4">
        <v>600</v>
      </c>
      <c r="I231">
        <v>9.9</v>
      </c>
      <c r="J231">
        <v>105600</v>
      </c>
    </row>
    <row r="232" spans="1:10">
      <c r="A232">
        <v>475</v>
      </c>
      <c r="B232" t="s">
        <v>193</v>
      </c>
      <c r="C232">
        <v>2024</v>
      </c>
      <c r="D232" t="s">
        <v>44</v>
      </c>
      <c r="E232" t="s">
        <v>41</v>
      </c>
      <c r="F232" t="s">
        <v>14</v>
      </c>
      <c r="G232" t="s">
        <v>26</v>
      </c>
      <c r="H232" s="4">
        <v>1073</v>
      </c>
      <c r="I232">
        <v>10</v>
      </c>
      <c r="J232">
        <v>105154</v>
      </c>
    </row>
    <row r="233" spans="1:10">
      <c r="A233">
        <v>445</v>
      </c>
      <c r="B233" t="s">
        <v>213</v>
      </c>
      <c r="C233">
        <v>2024</v>
      </c>
      <c r="D233" t="s">
        <v>11</v>
      </c>
      <c r="E233" t="s">
        <v>62</v>
      </c>
      <c r="F233" t="s">
        <v>21</v>
      </c>
      <c r="G233" t="s">
        <v>15</v>
      </c>
      <c r="H233" s="4">
        <v>1160</v>
      </c>
      <c r="I233">
        <v>12</v>
      </c>
      <c r="J233">
        <v>104400</v>
      </c>
    </row>
    <row r="234" spans="1:10">
      <c r="A234">
        <v>491</v>
      </c>
      <c r="B234" t="s">
        <v>214</v>
      </c>
      <c r="C234">
        <v>2024</v>
      </c>
      <c r="D234" t="s">
        <v>11</v>
      </c>
      <c r="E234" t="s">
        <v>41</v>
      </c>
      <c r="F234" t="s">
        <v>21</v>
      </c>
      <c r="G234" t="s">
        <v>27</v>
      </c>
      <c r="H234" s="4">
        <v>834</v>
      </c>
      <c r="I234">
        <v>13.1</v>
      </c>
      <c r="J234">
        <v>104250</v>
      </c>
    </row>
    <row r="235" spans="1:10">
      <c r="A235">
        <v>136</v>
      </c>
      <c r="B235" t="s">
        <v>215</v>
      </c>
      <c r="C235">
        <v>2024</v>
      </c>
      <c r="D235" t="s">
        <v>19</v>
      </c>
      <c r="E235" t="s">
        <v>41</v>
      </c>
      <c r="F235" t="s">
        <v>42</v>
      </c>
      <c r="G235" t="s">
        <v>30</v>
      </c>
      <c r="H235" s="4">
        <v>566</v>
      </c>
      <c r="I235">
        <v>6.6</v>
      </c>
      <c r="J235">
        <v>103578</v>
      </c>
    </row>
    <row r="236" spans="1:10">
      <c r="A236">
        <v>439</v>
      </c>
      <c r="B236" t="s">
        <v>175</v>
      </c>
      <c r="C236">
        <v>2024</v>
      </c>
      <c r="D236" t="s">
        <v>35</v>
      </c>
      <c r="E236" t="s">
        <v>62</v>
      </c>
      <c r="F236" t="s">
        <v>21</v>
      </c>
      <c r="G236" t="s">
        <v>22</v>
      </c>
      <c r="H236" s="4">
        <v>641</v>
      </c>
      <c r="I236">
        <v>4.5</v>
      </c>
      <c r="J236">
        <v>102560</v>
      </c>
    </row>
    <row r="237" spans="1:10">
      <c r="A237">
        <v>229</v>
      </c>
      <c r="B237" t="s">
        <v>87</v>
      </c>
      <c r="C237">
        <v>2024</v>
      </c>
      <c r="D237" t="s">
        <v>85</v>
      </c>
      <c r="E237" t="s">
        <v>62</v>
      </c>
      <c r="F237" t="s">
        <v>13</v>
      </c>
      <c r="G237" t="s">
        <v>26</v>
      </c>
      <c r="H237" s="4">
        <v>1076</v>
      </c>
      <c r="I237">
        <v>4.7</v>
      </c>
      <c r="J237">
        <v>102220</v>
      </c>
    </row>
    <row r="238" spans="1:10">
      <c r="A238">
        <v>52</v>
      </c>
      <c r="B238" t="s">
        <v>105</v>
      </c>
      <c r="C238">
        <v>2024</v>
      </c>
      <c r="D238" t="s">
        <v>85</v>
      </c>
      <c r="E238" t="s">
        <v>23</v>
      </c>
      <c r="F238" t="s">
        <v>42</v>
      </c>
      <c r="G238" t="s">
        <v>26</v>
      </c>
      <c r="H238" s="4">
        <v>616</v>
      </c>
      <c r="I238">
        <v>3.5</v>
      </c>
      <c r="J238">
        <v>101640</v>
      </c>
    </row>
    <row r="239" spans="1:10">
      <c r="A239">
        <v>402</v>
      </c>
      <c r="B239" t="s">
        <v>216</v>
      </c>
      <c r="C239">
        <v>2024</v>
      </c>
      <c r="D239" t="s">
        <v>95</v>
      </c>
      <c r="E239" t="s">
        <v>36</v>
      </c>
      <c r="F239" t="s">
        <v>51</v>
      </c>
      <c r="G239" t="s">
        <v>22</v>
      </c>
      <c r="H239" s="4">
        <v>681</v>
      </c>
      <c r="I239">
        <v>7.9</v>
      </c>
      <c r="J239">
        <v>101469</v>
      </c>
    </row>
    <row r="240" spans="1:10">
      <c r="A240">
        <v>288</v>
      </c>
      <c r="B240" t="s">
        <v>217</v>
      </c>
      <c r="C240">
        <v>2024</v>
      </c>
      <c r="D240" t="s">
        <v>85</v>
      </c>
      <c r="E240" t="s">
        <v>36</v>
      </c>
      <c r="F240" t="s">
        <v>21</v>
      </c>
      <c r="G240" t="s">
        <v>15</v>
      </c>
      <c r="H240" s="4">
        <v>1079</v>
      </c>
      <c r="I240">
        <v>13</v>
      </c>
      <c r="J240">
        <v>101426</v>
      </c>
    </row>
    <row r="241" spans="1:10">
      <c r="A241">
        <v>392</v>
      </c>
      <c r="B241" t="s">
        <v>191</v>
      </c>
      <c r="C241">
        <v>2024</v>
      </c>
      <c r="D241" t="s">
        <v>55</v>
      </c>
      <c r="E241" t="s">
        <v>20</v>
      </c>
      <c r="F241" t="s">
        <v>21</v>
      </c>
      <c r="G241" t="s">
        <v>30</v>
      </c>
      <c r="H241" s="4">
        <v>1023</v>
      </c>
      <c r="I241">
        <v>6</v>
      </c>
      <c r="J241">
        <v>101277</v>
      </c>
    </row>
    <row r="242" spans="1:10">
      <c r="A242">
        <v>299</v>
      </c>
      <c r="B242" t="s">
        <v>218</v>
      </c>
      <c r="C242">
        <v>2024</v>
      </c>
      <c r="D242" t="s">
        <v>44</v>
      </c>
      <c r="E242" t="s">
        <v>41</v>
      </c>
      <c r="F242" t="s">
        <v>14</v>
      </c>
      <c r="G242" t="s">
        <v>14</v>
      </c>
      <c r="H242" s="4">
        <v>970</v>
      </c>
      <c r="I242">
        <v>5.7</v>
      </c>
      <c r="J242">
        <v>100880</v>
      </c>
    </row>
    <row r="243" spans="1:10">
      <c r="A243">
        <v>101</v>
      </c>
      <c r="B243" t="s">
        <v>199</v>
      </c>
      <c r="C243">
        <v>2024</v>
      </c>
      <c r="D243" t="s">
        <v>85</v>
      </c>
      <c r="E243" t="s">
        <v>20</v>
      </c>
      <c r="F243" t="s">
        <v>21</v>
      </c>
      <c r="G243" t="s">
        <v>30</v>
      </c>
      <c r="H243" s="4">
        <v>410</v>
      </c>
      <c r="I243">
        <v>11.1</v>
      </c>
      <c r="J243">
        <v>100860</v>
      </c>
    </row>
    <row r="244" spans="1:10">
      <c r="A244">
        <v>74</v>
      </c>
      <c r="B244" t="s">
        <v>219</v>
      </c>
      <c r="C244">
        <v>2024</v>
      </c>
      <c r="D244" t="s">
        <v>44</v>
      </c>
      <c r="E244" t="s">
        <v>62</v>
      </c>
      <c r="F244" t="s">
        <v>45</v>
      </c>
      <c r="G244" t="s">
        <v>27</v>
      </c>
      <c r="H244" s="4">
        <v>1023</v>
      </c>
      <c r="I244">
        <v>9.6999999999999993</v>
      </c>
      <c r="J244">
        <v>100254</v>
      </c>
    </row>
    <row r="245" spans="1:10">
      <c r="A245">
        <v>16</v>
      </c>
      <c r="B245" t="s">
        <v>96</v>
      </c>
      <c r="C245">
        <v>2024</v>
      </c>
      <c r="D245" t="s">
        <v>85</v>
      </c>
      <c r="E245" t="s">
        <v>62</v>
      </c>
      <c r="F245" t="s">
        <v>13</v>
      </c>
      <c r="G245" t="s">
        <v>22</v>
      </c>
      <c r="H245" s="4">
        <v>867</v>
      </c>
      <c r="I245">
        <v>7</v>
      </c>
      <c r="J245">
        <v>99705</v>
      </c>
    </row>
    <row r="246" spans="1:10">
      <c r="A246">
        <v>126</v>
      </c>
      <c r="B246" t="s">
        <v>75</v>
      </c>
      <c r="C246">
        <v>2024</v>
      </c>
      <c r="D246" t="s">
        <v>38</v>
      </c>
      <c r="E246" t="s">
        <v>48</v>
      </c>
      <c r="F246" t="s">
        <v>42</v>
      </c>
      <c r="G246" t="s">
        <v>15</v>
      </c>
      <c r="H246" s="4">
        <v>455</v>
      </c>
      <c r="I246">
        <v>7.7</v>
      </c>
      <c r="J246">
        <v>99645</v>
      </c>
    </row>
    <row r="247" spans="1:10">
      <c r="A247">
        <v>108</v>
      </c>
      <c r="B247" t="s">
        <v>220</v>
      </c>
      <c r="C247">
        <v>2024</v>
      </c>
      <c r="D247" t="s">
        <v>35</v>
      </c>
      <c r="E247" t="s">
        <v>20</v>
      </c>
      <c r="F247" t="s">
        <v>51</v>
      </c>
      <c r="G247" t="s">
        <v>14</v>
      </c>
      <c r="H247" s="4">
        <v>967</v>
      </c>
      <c r="I247">
        <v>11.7</v>
      </c>
      <c r="J247">
        <v>99601</v>
      </c>
    </row>
    <row r="248" spans="1:10">
      <c r="A248">
        <v>497</v>
      </c>
      <c r="B248" t="s">
        <v>69</v>
      </c>
      <c r="C248">
        <v>2024</v>
      </c>
      <c r="D248" t="s">
        <v>35</v>
      </c>
      <c r="E248" t="s">
        <v>48</v>
      </c>
      <c r="F248" t="s">
        <v>51</v>
      </c>
      <c r="G248" t="s">
        <v>22</v>
      </c>
      <c r="H248" s="4">
        <v>450</v>
      </c>
      <c r="I248">
        <v>11.1</v>
      </c>
      <c r="J248">
        <v>98550</v>
      </c>
    </row>
    <row r="249" spans="1:10">
      <c r="A249">
        <v>154</v>
      </c>
      <c r="B249" t="s">
        <v>97</v>
      </c>
      <c r="C249">
        <v>2024</v>
      </c>
      <c r="D249" t="s">
        <v>44</v>
      </c>
      <c r="E249" t="s">
        <v>36</v>
      </c>
      <c r="F249" t="s">
        <v>49</v>
      </c>
      <c r="G249" t="s">
        <v>27</v>
      </c>
      <c r="H249" s="4">
        <v>515</v>
      </c>
      <c r="I249">
        <v>11.2</v>
      </c>
      <c r="J249">
        <v>98365</v>
      </c>
    </row>
    <row r="250" spans="1:10">
      <c r="A250">
        <v>309</v>
      </c>
      <c r="B250" t="s">
        <v>221</v>
      </c>
      <c r="C250">
        <v>2024</v>
      </c>
      <c r="D250" t="s">
        <v>40</v>
      </c>
      <c r="E250" t="s">
        <v>41</v>
      </c>
      <c r="F250" t="s">
        <v>13</v>
      </c>
      <c r="G250" t="s">
        <v>15</v>
      </c>
      <c r="H250" s="4">
        <v>1092</v>
      </c>
      <c r="I250">
        <v>7.4</v>
      </c>
      <c r="J250">
        <v>98280</v>
      </c>
    </row>
    <row r="251" spans="1:10">
      <c r="A251">
        <v>470</v>
      </c>
      <c r="B251" t="s">
        <v>222</v>
      </c>
      <c r="C251">
        <v>2024</v>
      </c>
      <c r="D251" t="s">
        <v>55</v>
      </c>
      <c r="E251" t="s">
        <v>36</v>
      </c>
      <c r="F251" t="s">
        <v>51</v>
      </c>
      <c r="G251" t="s">
        <v>22</v>
      </c>
      <c r="H251" s="4">
        <v>956</v>
      </c>
      <c r="I251">
        <v>12.5</v>
      </c>
      <c r="J251">
        <v>97512</v>
      </c>
    </row>
    <row r="252" spans="1:10">
      <c r="A252">
        <v>230</v>
      </c>
      <c r="B252" t="s">
        <v>223</v>
      </c>
      <c r="C252">
        <v>2024</v>
      </c>
      <c r="D252" t="s">
        <v>25</v>
      </c>
      <c r="E252" t="s">
        <v>48</v>
      </c>
      <c r="F252" t="s">
        <v>42</v>
      </c>
      <c r="G252" t="s">
        <v>14</v>
      </c>
      <c r="H252" s="4">
        <v>1083</v>
      </c>
      <c r="I252">
        <v>10.1</v>
      </c>
      <c r="J252">
        <v>97470</v>
      </c>
    </row>
    <row r="253" spans="1:10">
      <c r="A253">
        <v>322</v>
      </c>
      <c r="B253" t="s">
        <v>134</v>
      </c>
      <c r="C253">
        <v>2024</v>
      </c>
      <c r="D253" t="s">
        <v>55</v>
      </c>
      <c r="E253" t="s">
        <v>12</v>
      </c>
      <c r="F253" t="s">
        <v>45</v>
      </c>
      <c r="G253" t="s">
        <v>26</v>
      </c>
      <c r="H253" s="4">
        <v>474</v>
      </c>
      <c r="I253">
        <v>10.6</v>
      </c>
      <c r="J253">
        <v>97170</v>
      </c>
    </row>
    <row r="254" spans="1:10">
      <c r="A254">
        <v>252</v>
      </c>
      <c r="B254" t="s">
        <v>129</v>
      </c>
      <c r="C254">
        <v>2024</v>
      </c>
      <c r="D254" t="s">
        <v>85</v>
      </c>
      <c r="E254" t="s">
        <v>41</v>
      </c>
      <c r="F254" t="s">
        <v>14</v>
      </c>
      <c r="G254" t="s">
        <v>15</v>
      </c>
      <c r="H254" s="4">
        <v>968</v>
      </c>
      <c r="I254">
        <v>9.8000000000000007</v>
      </c>
      <c r="J254">
        <v>96800</v>
      </c>
    </row>
    <row r="255" spans="1:10">
      <c r="A255">
        <v>45</v>
      </c>
      <c r="B255" t="s">
        <v>224</v>
      </c>
      <c r="C255">
        <v>2024</v>
      </c>
      <c r="D255" t="s">
        <v>19</v>
      </c>
      <c r="E255" t="s">
        <v>41</v>
      </c>
      <c r="F255" t="s">
        <v>45</v>
      </c>
      <c r="G255" t="s">
        <v>30</v>
      </c>
      <c r="H255" s="4">
        <v>986</v>
      </c>
      <c r="I255">
        <v>6.5</v>
      </c>
      <c r="J255">
        <v>96628</v>
      </c>
    </row>
    <row r="256" spans="1:10">
      <c r="A256">
        <v>385</v>
      </c>
      <c r="B256" t="s">
        <v>225</v>
      </c>
      <c r="C256">
        <v>2024</v>
      </c>
      <c r="D256" t="s">
        <v>44</v>
      </c>
      <c r="E256" t="s">
        <v>33</v>
      </c>
      <c r="F256" t="s">
        <v>49</v>
      </c>
      <c r="G256" t="s">
        <v>15</v>
      </c>
      <c r="H256" s="4">
        <v>1147</v>
      </c>
      <c r="I256">
        <v>13.8</v>
      </c>
      <c r="J256">
        <v>96348</v>
      </c>
    </row>
    <row r="257" spans="1:10">
      <c r="A257">
        <v>119</v>
      </c>
      <c r="B257" t="s">
        <v>226</v>
      </c>
      <c r="C257">
        <v>2024</v>
      </c>
      <c r="D257" t="s">
        <v>38</v>
      </c>
      <c r="E257" t="s">
        <v>36</v>
      </c>
      <c r="F257" t="s">
        <v>21</v>
      </c>
      <c r="G257" t="s">
        <v>14</v>
      </c>
      <c r="H257" s="4">
        <v>672</v>
      </c>
      <c r="I257">
        <v>3.9</v>
      </c>
      <c r="J257">
        <v>96096</v>
      </c>
    </row>
    <row r="258" spans="1:10">
      <c r="A258">
        <v>459</v>
      </c>
      <c r="B258" t="s">
        <v>156</v>
      </c>
      <c r="C258">
        <v>2024</v>
      </c>
      <c r="D258" t="s">
        <v>32</v>
      </c>
      <c r="E258" t="s">
        <v>41</v>
      </c>
      <c r="F258" t="s">
        <v>13</v>
      </c>
      <c r="G258" t="s">
        <v>27</v>
      </c>
      <c r="H258" s="4">
        <v>1043</v>
      </c>
      <c r="I258">
        <v>11.7</v>
      </c>
      <c r="J258">
        <v>95956</v>
      </c>
    </row>
    <row r="259" spans="1:10">
      <c r="A259">
        <v>191</v>
      </c>
      <c r="B259" t="s">
        <v>220</v>
      </c>
      <c r="C259">
        <v>2024</v>
      </c>
      <c r="D259" t="s">
        <v>35</v>
      </c>
      <c r="E259" t="s">
        <v>12</v>
      </c>
      <c r="F259" t="s">
        <v>21</v>
      </c>
      <c r="G259" t="s">
        <v>15</v>
      </c>
      <c r="H259" s="4">
        <v>958</v>
      </c>
      <c r="I259">
        <v>3.8</v>
      </c>
      <c r="J259">
        <v>95800</v>
      </c>
    </row>
    <row r="260" spans="1:10">
      <c r="A260">
        <v>496</v>
      </c>
      <c r="B260" t="s">
        <v>168</v>
      </c>
      <c r="C260">
        <v>2024</v>
      </c>
      <c r="D260" t="s">
        <v>44</v>
      </c>
      <c r="E260" t="s">
        <v>62</v>
      </c>
      <c r="F260" t="s">
        <v>14</v>
      </c>
      <c r="G260" t="s">
        <v>30</v>
      </c>
      <c r="H260" s="4">
        <v>672</v>
      </c>
      <c r="I260">
        <v>11.1</v>
      </c>
      <c r="J260">
        <v>95424</v>
      </c>
    </row>
    <row r="261" spans="1:10">
      <c r="A261">
        <v>123</v>
      </c>
      <c r="B261" t="s">
        <v>227</v>
      </c>
      <c r="C261">
        <v>2024</v>
      </c>
      <c r="D261" t="s">
        <v>32</v>
      </c>
      <c r="E261" t="s">
        <v>33</v>
      </c>
      <c r="F261" t="s">
        <v>45</v>
      </c>
      <c r="G261" t="s">
        <v>27</v>
      </c>
      <c r="H261" s="4">
        <v>1180</v>
      </c>
      <c r="I261">
        <v>3.8</v>
      </c>
      <c r="J261">
        <v>94400</v>
      </c>
    </row>
    <row r="262" spans="1:10">
      <c r="A262">
        <v>204</v>
      </c>
      <c r="B262" t="s">
        <v>179</v>
      </c>
      <c r="C262">
        <v>2024</v>
      </c>
      <c r="D262" t="s">
        <v>95</v>
      </c>
      <c r="E262" t="s">
        <v>33</v>
      </c>
      <c r="F262" t="s">
        <v>13</v>
      </c>
      <c r="G262" t="s">
        <v>15</v>
      </c>
      <c r="H262" s="4">
        <v>421</v>
      </c>
      <c r="I262">
        <v>12.6</v>
      </c>
      <c r="J262">
        <v>94304</v>
      </c>
    </row>
    <row r="263" spans="1:10">
      <c r="A263">
        <v>254</v>
      </c>
      <c r="B263" t="s">
        <v>108</v>
      </c>
      <c r="C263">
        <v>2024</v>
      </c>
      <c r="D263" t="s">
        <v>44</v>
      </c>
      <c r="E263" t="s">
        <v>33</v>
      </c>
      <c r="F263" t="s">
        <v>42</v>
      </c>
      <c r="G263" t="s">
        <v>30</v>
      </c>
      <c r="H263" s="4">
        <v>666</v>
      </c>
      <c r="I263">
        <v>4.3</v>
      </c>
      <c r="J263">
        <v>93906</v>
      </c>
    </row>
    <row r="264" spans="1:10">
      <c r="A264">
        <v>463</v>
      </c>
      <c r="B264" t="s">
        <v>163</v>
      </c>
      <c r="C264">
        <v>2024</v>
      </c>
      <c r="D264" t="s">
        <v>61</v>
      </c>
      <c r="E264" t="s">
        <v>33</v>
      </c>
      <c r="F264" t="s">
        <v>42</v>
      </c>
      <c r="G264" t="s">
        <v>22</v>
      </c>
      <c r="H264" s="4">
        <v>675</v>
      </c>
      <c r="I264">
        <v>11</v>
      </c>
      <c r="J264">
        <v>93825</v>
      </c>
    </row>
    <row r="265" spans="1:10">
      <c r="A265">
        <v>292</v>
      </c>
      <c r="B265" t="s">
        <v>66</v>
      </c>
      <c r="C265">
        <v>2024</v>
      </c>
      <c r="D265" t="s">
        <v>32</v>
      </c>
      <c r="E265" t="s">
        <v>12</v>
      </c>
      <c r="F265" t="s">
        <v>49</v>
      </c>
      <c r="G265" t="s">
        <v>30</v>
      </c>
      <c r="H265" s="4">
        <v>400</v>
      </c>
      <c r="I265">
        <v>10.199999999999999</v>
      </c>
      <c r="J265">
        <v>93600</v>
      </c>
    </row>
    <row r="266" spans="1:10">
      <c r="A266">
        <v>150</v>
      </c>
      <c r="B266" t="s">
        <v>64</v>
      </c>
      <c r="C266">
        <v>2024</v>
      </c>
      <c r="D266" t="s">
        <v>25</v>
      </c>
      <c r="E266" t="s">
        <v>23</v>
      </c>
      <c r="F266" t="s">
        <v>45</v>
      </c>
      <c r="G266" t="s">
        <v>27</v>
      </c>
      <c r="H266" s="4">
        <v>1127</v>
      </c>
      <c r="I266">
        <v>13</v>
      </c>
      <c r="J266">
        <v>93541</v>
      </c>
    </row>
    <row r="267" spans="1:10">
      <c r="A267">
        <v>215</v>
      </c>
      <c r="B267" t="s">
        <v>148</v>
      </c>
      <c r="C267">
        <v>2024</v>
      </c>
      <c r="D267" t="s">
        <v>95</v>
      </c>
      <c r="E267" t="s">
        <v>12</v>
      </c>
      <c r="F267" t="s">
        <v>21</v>
      </c>
      <c r="G267" t="s">
        <v>14</v>
      </c>
      <c r="H267" s="4">
        <v>943</v>
      </c>
      <c r="I267">
        <v>3.2</v>
      </c>
      <c r="J267">
        <v>93357</v>
      </c>
    </row>
    <row r="268" spans="1:10">
      <c r="A268">
        <v>438</v>
      </c>
      <c r="B268" t="s">
        <v>105</v>
      </c>
      <c r="C268">
        <v>2024</v>
      </c>
      <c r="D268" t="s">
        <v>85</v>
      </c>
      <c r="E268" t="s">
        <v>23</v>
      </c>
      <c r="F268" t="s">
        <v>21</v>
      </c>
      <c r="G268" t="s">
        <v>15</v>
      </c>
      <c r="H268" s="4">
        <v>430</v>
      </c>
      <c r="I268">
        <v>8.4</v>
      </c>
      <c r="J268">
        <v>93310</v>
      </c>
    </row>
    <row r="269" spans="1:10">
      <c r="A269">
        <v>60</v>
      </c>
      <c r="B269" t="s">
        <v>228</v>
      </c>
      <c r="C269">
        <v>2024</v>
      </c>
      <c r="D269" t="s">
        <v>19</v>
      </c>
      <c r="E269" t="s">
        <v>48</v>
      </c>
      <c r="F269" t="s">
        <v>13</v>
      </c>
      <c r="G269" t="s">
        <v>27</v>
      </c>
      <c r="H269" s="4">
        <v>675</v>
      </c>
      <c r="I269">
        <v>12</v>
      </c>
      <c r="J269">
        <v>93150</v>
      </c>
    </row>
    <row r="270" spans="1:10">
      <c r="A270">
        <v>274</v>
      </c>
      <c r="B270" t="s">
        <v>63</v>
      </c>
      <c r="C270">
        <v>2024</v>
      </c>
      <c r="D270" t="s">
        <v>25</v>
      </c>
      <c r="E270" t="s">
        <v>12</v>
      </c>
      <c r="F270" t="s">
        <v>45</v>
      </c>
      <c r="G270" t="s">
        <v>30</v>
      </c>
      <c r="H270" s="4">
        <v>533</v>
      </c>
      <c r="I270">
        <v>11.6</v>
      </c>
      <c r="J270">
        <v>92209</v>
      </c>
    </row>
    <row r="271" spans="1:10">
      <c r="A271">
        <v>162</v>
      </c>
      <c r="B271" t="s">
        <v>229</v>
      </c>
      <c r="C271">
        <v>2024</v>
      </c>
      <c r="D271" t="s">
        <v>25</v>
      </c>
      <c r="E271" t="s">
        <v>20</v>
      </c>
      <c r="F271" t="s">
        <v>42</v>
      </c>
      <c r="G271" t="s">
        <v>26</v>
      </c>
      <c r="H271" s="4">
        <v>535</v>
      </c>
      <c r="I271">
        <v>7.2</v>
      </c>
      <c r="J271">
        <v>91485</v>
      </c>
    </row>
    <row r="272" spans="1:10">
      <c r="A272">
        <v>465</v>
      </c>
      <c r="B272" t="s">
        <v>230</v>
      </c>
      <c r="C272">
        <v>2024</v>
      </c>
      <c r="D272" t="s">
        <v>40</v>
      </c>
      <c r="E272" t="s">
        <v>41</v>
      </c>
      <c r="F272" t="s">
        <v>42</v>
      </c>
      <c r="G272" t="s">
        <v>26</v>
      </c>
      <c r="H272" s="4">
        <v>1113</v>
      </c>
      <c r="I272">
        <v>10.5</v>
      </c>
      <c r="J272">
        <v>91266</v>
      </c>
    </row>
    <row r="273" spans="1:10">
      <c r="A273">
        <v>301</v>
      </c>
      <c r="B273" t="s">
        <v>174</v>
      </c>
      <c r="C273">
        <v>2024</v>
      </c>
      <c r="D273" t="s">
        <v>19</v>
      </c>
      <c r="E273" t="s">
        <v>62</v>
      </c>
      <c r="F273" t="s">
        <v>45</v>
      </c>
      <c r="G273" t="s">
        <v>26</v>
      </c>
      <c r="H273" s="4">
        <v>438</v>
      </c>
      <c r="I273">
        <v>11.4</v>
      </c>
      <c r="J273">
        <v>90666</v>
      </c>
    </row>
    <row r="274" spans="1:10">
      <c r="A274">
        <v>120</v>
      </c>
      <c r="B274" t="s">
        <v>92</v>
      </c>
      <c r="C274">
        <v>2024</v>
      </c>
      <c r="D274" t="s">
        <v>61</v>
      </c>
      <c r="E274" t="s">
        <v>62</v>
      </c>
      <c r="F274" t="s">
        <v>45</v>
      </c>
      <c r="G274" t="s">
        <v>26</v>
      </c>
      <c r="H274" s="4">
        <v>512</v>
      </c>
      <c r="I274">
        <v>11.5</v>
      </c>
      <c r="J274">
        <v>90624</v>
      </c>
    </row>
    <row r="275" spans="1:10">
      <c r="A275">
        <v>311</v>
      </c>
      <c r="B275" t="s">
        <v>159</v>
      </c>
      <c r="C275">
        <v>2024</v>
      </c>
      <c r="D275" t="s">
        <v>19</v>
      </c>
      <c r="E275" t="s">
        <v>20</v>
      </c>
      <c r="F275" t="s">
        <v>21</v>
      </c>
      <c r="G275" t="s">
        <v>26</v>
      </c>
      <c r="H275" s="4">
        <v>382</v>
      </c>
      <c r="I275">
        <v>7.3</v>
      </c>
      <c r="J275">
        <v>90534</v>
      </c>
    </row>
    <row r="276" spans="1:10">
      <c r="A276">
        <v>417</v>
      </c>
      <c r="B276" t="s">
        <v>66</v>
      </c>
      <c r="C276">
        <v>2024</v>
      </c>
      <c r="D276" t="s">
        <v>32</v>
      </c>
      <c r="E276" t="s">
        <v>62</v>
      </c>
      <c r="F276" t="s">
        <v>21</v>
      </c>
      <c r="G276" t="s">
        <v>14</v>
      </c>
      <c r="H276" s="4">
        <v>916</v>
      </c>
      <c r="I276">
        <v>11.7</v>
      </c>
      <c r="J276">
        <v>89768</v>
      </c>
    </row>
    <row r="277" spans="1:10">
      <c r="A277">
        <v>222</v>
      </c>
      <c r="B277" t="s">
        <v>231</v>
      </c>
      <c r="C277">
        <v>2024</v>
      </c>
      <c r="D277" t="s">
        <v>61</v>
      </c>
      <c r="E277" t="s">
        <v>36</v>
      </c>
      <c r="F277" t="s">
        <v>51</v>
      </c>
      <c r="G277" t="s">
        <v>27</v>
      </c>
      <c r="H277" s="4">
        <v>363</v>
      </c>
      <c r="I277">
        <v>11.4</v>
      </c>
      <c r="J277">
        <v>89661</v>
      </c>
    </row>
    <row r="278" spans="1:10">
      <c r="A278">
        <v>73</v>
      </c>
      <c r="B278" t="s">
        <v>128</v>
      </c>
      <c r="C278">
        <v>2024</v>
      </c>
      <c r="D278" t="s">
        <v>55</v>
      </c>
      <c r="E278" t="s">
        <v>23</v>
      </c>
      <c r="F278" t="s">
        <v>13</v>
      </c>
      <c r="G278" t="s">
        <v>22</v>
      </c>
      <c r="H278" s="4">
        <v>685</v>
      </c>
      <c r="I278">
        <v>5.5</v>
      </c>
      <c r="J278">
        <v>89050</v>
      </c>
    </row>
    <row r="279" spans="1:10">
      <c r="A279">
        <v>203</v>
      </c>
      <c r="B279" t="s">
        <v>232</v>
      </c>
      <c r="C279">
        <v>2024</v>
      </c>
      <c r="D279" t="s">
        <v>55</v>
      </c>
      <c r="E279" t="s">
        <v>20</v>
      </c>
      <c r="F279" t="s">
        <v>14</v>
      </c>
      <c r="G279" t="s">
        <v>26</v>
      </c>
      <c r="H279" s="4">
        <v>597</v>
      </c>
      <c r="I279">
        <v>3.3</v>
      </c>
      <c r="J279">
        <v>88953</v>
      </c>
    </row>
    <row r="280" spans="1:10">
      <c r="A280">
        <v>342</v>
      </c>
      <c r="B280" t="s">
        <v>109</v>
      </c>
      <c r="C280">
        <v>2024</v>
      </c>
      <c r="D280" t="s">
        <v>61</v>
      </c>
      <c r="E280" t="s">
        <v>48</v>
      </c>
      <c r="F280" t="s">
        <v>51</v>
      </c>
      <c r="G280" t="s">
        <v>14</v>
      </c>
      <c r="H280" s="4">
        <v>654</v>
      </c>
      <c r="I280">
        <v>7</v>
      </c>
      <c r="J280">
        <v>88944</v>
      </c>
    </row>
    <row r="281" spans="1:10">
      <c r="A281">
        <v>214</v>
      </c>
      <c r="B281" t="s">
        <v>134</v>
      </c>
      <c r="C281">
        <v>2024</v>
      </c>
      <c r="D281" t="s">
        <v>55</v>
      </c>
      <c r="E281" t="s">
        <v>36</v>
      </c>
      <c r="F281" t="s">
        <v>45</v>
      </c>
      <c r="G281" t="s">
        <v>27</v>
      </c>
      <c r="H281" s="4">
        <v>521</v>
      </c>
      <c r="I281">
        <v>8.5</v>
      </c>
      <c r="J281">
        <v>88570</v>
      </c>
    </row>
    <row r="282" spans="1:10">
      <c r="A282">
        <v>161</v>
      </c>
      <c r="B282" t="s">
        <v>233</v>
      </c>
      <c r="C282">
        <v>2024</v>
      </c>
      <c r="D282" t="s">
        <v>55</v>
      </c>
      <c r="E282" t="s">
        <v>48</v>
      </c>
      <c r="F282" t="s">
        <v>45</v>
      </c>
      <c r="G282" t="s">
        <v>14</v>
      </c>
      <c r="H282" s="4">
        <v>562</v>
      </c>
      <c r="I282">
        <v>8</v>
      </c>
      <c r="J282">
        <v>88234</v>
      </c>
    </row>
    <row r="283" spans="1:10">
      <c r="A283">
        <v>472</v>
      </c>
      <c r="B283" t="s">
        <v>234</v>
      </c>
      <c r="C283">
        <v>2024</v>
      </c>
      <c r="D283" t="s">
        <v>44</v>
      </c>
      <c r="E283" t="s">
        <v>20</v>
      </c>
      <c r="F283" t="s">
        <v>49</v>
      </c>
      <c r="G283" t="s">
        <v>27</v>
      </c>
      <c r="H283" s="4">
        <v>617</v>
      </c>
      <c r="I283">
        <v>10.1</v>
      </c>
      <c r="J283">
        <v>88231</v>
      </c>
    </row>
    <row r="284" spans="1:10">
      <c r="A284">
        <v>103</v>
      </c>
      <c r="B284" t="s">
        <v>73</v>
      </c>
      <c r="C284">
        <v>2024</v>
      </c>
      <c r="D284" t="s">
        <v>25</v>
      </c>
      <c r="E284" t="s">
        <v>62</v>
      </c>
      <c r="F284" t="s">
        <v>21</v>
      </c>
      <c r="G284" t="s">
        <v>30</v>
      </c>
      <c r="H284" s="4">
        <v>621</v>
      </c>
      <c r="I284">
        <v>12.7</v>
      </c>
      <c r="J284">
        <v>88182</v>
      </c>
    </row>
    <row r="285" spans="1:10">
      <c r="A285">
        <v>164</v>
      </c>
      <c r="B285" t="s">
        <v>235</v>
      </c>
      <c r="C285">
        <v>2024</v>
      </c>
      <c r="D285" t="s">
        <v>35</v>
      </c>
      <c r="E285" t="s">
        <v>12</v>
      </c>
      <c r="F285" t="s">
        <v>51</v>
      </c>
      <c r="G285" t="s">
        <v>27</v>
      </c>
      <c r="H285" s="4">
        <v>636</v>
      </c>
      <c r="I285">
        <v>11.5</v>
      </c>
      <c r="J285">
        <v>87768</v>
      </c>
    </row>
    <row r="286" spans="1:10">
      <c r="A286">
        <v>116</v>
      </c>
      <c r="B286" t="s">
        <v>236</v>
      </c>
      <c r="C286">
        <v>2024</v>
      </c>
      <c r="D286" t="s">
        <v>61</v>
      </c>
      <c r="E286" t="s">
        <v>20</v>
      </c>
      <c r="F286" t="s">
        <v>45</v>
      </c>
      <c r="G286" t="s">
        <v>14</v>
      </c>
      <c r="H286" s="4">
        <v>1055</v>
      </c>
      <c r="I286">
        <v>4.0999999999999996</v>
      </c>
      <c r="J286">
        <v>87565</v>
      </c>
    </row>
    <row r="287" spans="1:10">
      <c r="A287">
        <v>321</v>
      </c>
      <c r="B287" t="s">
        <v>237</v>
      </c>
      <c r="C287">
        <v>2024</v>
      </c>
      <c r="D287" t="s">
        <v>40</v>
      </c>
      <c r="E287" t="s">
        <v>48</v>
      </c>
      <c r="F287" t="s">
        <v>14</v>
      </c>
      <c r="G287" t="s">
        <v>26</v>
      </c>
      <c r="H287" s="4">
        <v>554</v>
      </c>
      <c r="I287">
        <v>6.1</v>
      </c>
      <c r="J287">
        <v>86424</v>
      </c>
    </row>
    <row r="288" spans="1:10">
      <c r="A288">
        <v>500</v>
      </c>
      <c r="B288" t="s">
        <v>108</v>
      </c>
      <c r="C288">
        <v>2024</v>
      </c>
      <c r="D288" t="s">
        <v>44</v>
      </c>
      <c r="E288" t="s">
        <v>23</v>
      </c>
      <c r="F288" t="s">
        <v>42</v>
      </c>
      <c r="G288" t="s">
        <v>26</v>
      </c>
      <c r="H288" s="4">
        <v>909</v>
      </c>
      <c r="I288">
        <v>8.4</v>
      </c>
      <c r="J288">
        <v>86355</v>
      </c>
    </row>
    <row r="289" spans="1:10">
      <c r="A289">
        <v>50</v>
      </c>
      <c r="B289" t="s">
        <v>106</v>
      </c>
      <c r="C289">
        <v>2024</v>
      </c>
      <c r="D289" t="s">
        <v>38</v>
      </c>
      <c r="E289" t="s">
        <v>48</v>
      </c>
      <c r="F289" t="s">
        <v>42</v>
      </c>
      <c r="G289" t="s">
        <v>26</v>
      </c>
      <c r="H289" s="4">
        <v>368</v>
      </c>
      <c r="I289">
        <v>6</v>
      </c>
      <c r="J289">
        <v>86112</v>
      </c>
    </row>
    <row r="290" spans="1:10">
      <c r="A290">
        <v>235</v>
      </c>
      <c r="B290" t="s">
        <v>183</v>
      </c>
      <c r="C290">
        <v>2024</v>
      </c>
      <c r="D290" t="s">
        <v>55</v>
      </c>
      <c r="E290" t="s">
        <v>20</v>
      </c>
      <c r="F290" t="s">
        <v>21</v>
      </c>
      <c r="G290" t="s">
        <v>14</v>
      </c>
      <c r="H290" s="4">
        <v>852</v>
      </c>
      <c r="I290">
        <v>4.4000000000000004</v>
      </c>
      <c r="J290">
        <v>86052</v>
      </c>
    </row>
    <row r="291" spans="1:10">
      <c r="A291">
        <v>201</v>
      </c>
      <c r="B291" t="s">
        <v>238</v>
      </c>
      <c r="C291">
        <v>2024</v>
      </c>
      <c r="D291" t="s">
        <v>35</v>
      </c>
      <c r="E291" t="s">
        <v>12</v>
      </c>
      <c r="F291" t="s">
        <v>13</v>
      </c>
      <c r="G291" t="s">
        <v>26</v>
      </c>
      <c r="H291" s="4">
        <v>509</v>
      </c>
      <c r="I291">
        <v>12.3</v>
      </c>
      <c r="J291">
        <v>86021</v>
      </c>
    </row>
    <row r="292" spans="1:10">
      <c r="A292">
        <v>140</v>
      </c>
      <c r="B292" t="s">
        <v>239</v>
      </c>
      <c r="C292">
        <v>2024</v>
      </c>
      <c r="D292" t="s">
        <v>61</v>
      </c>
      <c r="E292" t="s">
        <v>41</v>
      </c>
      <c r="F292" t="s">
        <v>21</v>
      </c>
      <c r="G292" t="s">
        <v>14</v>
      </c>
      <c r="H292" s="4">
        <v>540</v>
      </c>
      <c r="I292">
        <v>10.8</v>
      </c>
      <c r="J292">
        <v>85860</v>
      </c>
    </row>
    <row r="293" spans="1:10">
      <c r="A293">
        <v>181</v>
      </c>
      <c r="B293" t="s">
        <v>144</v>
      </c>
      <c r="C293">
        <v>2024</v>
      </c>
      <c r="D293" t="s">
        <v>44</v>
      </c>
      <c r="E293" t="s">
        <v>36</v>
      </c>
      <c r="F293" t="s">
        <v>42</v>
      </c>
      <c r="G293" t="s">
        <v>15</v>
      </c>
      <c r="H293" s="4">
        <v>438</v>
      </c>
      <c r="I293">
        <v>13.7</v>
      </c>
      <c r="J293">
        <v>85848</v>
      </c>
    </row>
    <row r="294" spans="1:10">
      <c r="A294">
        <v>282</v>
      </c>
      <c r="B294" t="s">
        <v>240</v>
      </c>
      <c r="C294">
        <v>2024</v>
      </c>
      <c r="D294" t="s">
        <v>55</v>
      </c>
      <c r="E294" t="s">
        <v>48</v>
      </c>
      <c r="F294" t="s">
        <v>13</v>
      </c>
      <c r="G294" t="s">
        <v>15</v>
      </c>
      <c r="H294" s="4">
        <v>406</v>
      </c>
      <c r="I294">
        <v>11.7</v>
      </c>
      <c r="J294">
        <v>85260</v>
      </c>
    </row>
    <row r="295" spans="1:10">
      <c r="A295">
        <v>248</v>
      </c>
      <c r="B295" t="s">
        <v>241</v>
      </c>
      <c r="C295">
        <v>2024</v>
      </c>
      <c r="D295" t="s">
        <v>25</v>
      </c>
      <c r="E295" t="s">
        <v>41</v>
      </c>
      <c r="F295" t="s">
        <v>45</v>
      </c>
      <c r="G295" t="s">
        <v>22</v>
      </c>
      <c r="H295" s="4">
        <v>504</v>
      </c>
      <c r="I295">
        <v>12</v>
      </c>
      <c r="J295">
        <v>85176</v>
      </c>
    </row>
    <row r="296" spans="1:10">
      <c r="A296">
        <v>51</v>
      </c>
      <c r="B296" t="s">
        <v>242</v>
      </c>
      <c r="C296">
        <v>2024</v>
      </c>
      <c r="D296" t="s">
        <v>40</v>
      </c>
      <c r="E296" t="s">
        <v>41</v>
      </c>
      <c r="F296" t="s">
        <v>13</v>
      </c>
      <c r="G296" t="s">
        <v>27</v>
      </c>
      <c r="H296" s="4">
        <v>590</v>
      </c>
      <c r="I296">
        <v>8.6</v>
      </c>
      <c r="J296">
        <v>84960</v>
      </c>
    </row>
    <row r="297" spans="1:10">
      <c r="A297">
        <v>366</v>
      </c>
      <c r="B297" t="s">
        <v>84</v>
      </c>
      <c r="C297">
        <v>2024</v>
      </c>
      <c r="D297" t="s">
        <v>85</v>
      </c>
      <c r="E297" t="s">
        <v>23</v>
      </c>
      <c r="F297" t="s">
        <v>49</v>
      </c>
      <c r="G297" t="s">
        <v>14</v>
      </c>
      <c r="H297" s="4">
        <v>543</v>
      </c>
      <c r="I297">
        <v>12.3</v>
      </c>
      <c r="J297">
        <v>84708</v>
      </c>
    </row>
    <row r="298" spans="1:10">
      <c r="A298">
        <v>61</v>
      </c>
      <c r="B298" t="s">
        <v>237</v>
      </c>
      <c r="C298">
        <v>2024</v>
      </c>
      <c r="D298" t="s">
        <v>40</v>
      </c>
      <c r="E298" t="s">
        <v>20</v>
      </c>
      <c r="F298" t="s">
        <v>14</v>
      </c>
      <c r="G298" t="s">
        <v>27</v>
      </c>
      <c r="H298" s="4">
        <v>866</v>
      </c>
      <c r="I298">
        <v>6.6</v>
      </c>
      <c r="J298">
        <v>84002</v>
      </c>
    </row>
    <row r="299" spans="1:10">
      <c r="A299">
        <v>111</v>
      </c>
      <c r="B299" t="s">
        <v>202</v>
      </c>
      <c r="C299">
        <v>2024</v>
      </c>
      <c r="D299" t="s">
        <v>85</v>
      </c>
      <c r="E299" t="s">
        <v>36</v>
      </c>
      <c r="F299" t="s">
        <v>42</v>
      </c>
      <c r="G299" t="s">
        <v>15</v>
      </c>
      <c r="H299" s="4">
        <v>604</v>
      </c>
      <c r="I299">
        <v>6.4</v>
      </c>
      <c r="J299">
        <v>83956</v>
      </c>
    </row>
    <row r="300" spans="1:10">
      <c r="A300">
        <v>256</v>
      </c>
      <c r="B300" t="s">
        <v>243</v>
      </c>
      <c r="C300">
        <v>2024</v>
      </c>
      <c r="D300" t="s">
        <v>38</v>
      </c>
      <c r="E300" t="s">
        <v>33</v>
      </c>
      <c r="F300" t="s">
        <v>13</v>
      </c>
      <c r="G300" t="s">
        <v>30</v>
      </c>
      <c r="H300" s="4">
        <v>545</v>
      </c>
      <c r="I300">
        <v>10.9</v>
      </c>
      <c r="J300">
        <v>83930</v>
      </c>
    </row>
    <row r="301" spans="1:10">
      <c r="A301">
        <v>304</v>
      </c>
      <c r="B301" t="s">
        <v>128</v>
      </c>
      <c r="C301">
        <v>2024</v>
      </c>
      <c r="D301" t="s">
        <v>55</v>
      </c>
      <c r="E301" t="s">
        <v>36</v>
      </c>
      <c r="F301" t="s">
        <v>45</v>
      </c>
      <c r="G301" t="s">
        <v>15</v>
      </c>
      <c r="H301" s="4">
        <v>1013</v>
      </c>
      <c r="I301">
        <v>6.1</v>
      </c>
      <c r="J301">
        <v>83066</v>
      </c>
    </row>
    <row r="302" spans="1:10">
      <c r="A302">
        <v>13</v>
      </c>
      <c r="B302" t="s">
        <v>194</v>
      </c>
      <c r="C302">
        <v>2024</v>
      </c>
      <c r="D302" t="s">
        <v>95</v>
      </c>
      <c r="E302" t="s">
        <v>33</v>
      </c>
      <c r="F302" t="s">
        <v>14</v>
      </c>
      <c r="G302" t="s">
        <v>22</v>
      </c>
      <c r="H302" s="4">
        <v>519</v>
      </c>
      <c r="I302">
        <v>12</v>
      </c>
      <c r="J302">
        <v>83040</v>
      </c>
    </row>
    <row r="303" spans="1:10">
      <c r="A303">
        <v>347</v>
      </c>
      <c r="B303" t="s">
        <v>31</v>
      </c>
      <c r="C303">
        <v>2024</v>
      </c>
      <c r="D303" t="s">
        <v>32</v>
      </c>
      <c r="E303" t="s">
        <v>62</v>
      </c>
      <c r="F303" t="s">
        <v>13</v>
      </c>
      <c r="G303" t="s">
        <v>27</v>
      </c>
      <c r="H303" s="4">
        <v>386</v>
      </c>
      <c r="I303">
        <v>6.6</v>
      </c>
      <c r="J303">
        <v>82218</v>
      </c>
    </row>
    <row r="304" spans="1:10">
      <c r="A304">
        <v>362</v>
      </c>
      <c r="B304" t="s">
        <v>128</v>
      </c>
      <c r="C304">
        <v>2024</v>
      </c>
      <c r="D304" t="s">
        <v>55</v>
      </c>
      <c r="E304" t="s">
        <v>48</v>
      </c>
      <c r="F304" t="s">
        <v>45</v>
      </c>
      <c r="G304" t="s">
        <v>26</v>
      </c>
      <c r="H304" s="4">
        <v>706</v>
      </c>
      <c r="I304">
        <v>5.6</v>
      </c>
      <c r="J304">
        <v>81896</v>
      </c>
    </row>
    <row r="305" spans="1:10">
      <c r="A305">
        <v>234</v>
      </c>
      <c r="B305" t="s">
        <v>74</v>
      </c>
      <c r="C305">
        <v>2024</v>
      </c>
      <c r="D305" t="s">
        <v>55</v>
      </c>
      <c r="E305" t="s">
        <v>23</v>
      </c>
      <c r="F305" t="s">
        <v>14</v>
      </c>
      <c r="G305" t="s">
        <v>26</v>
      </c>
      <c r="H305" s="4">
        <v>357</v>
      </c>
      <c r="I305">
        <v>6.7</v>
      </c>
      <c r="J305">
        <v>81753</v>
      </c>
    </row>
    <row r="306" spans="1:10">
      <c r="A306">
        <v>159</v>
      </c>
      <c r="B306" t="s">
        <v>244</v>
      </c>
      <c r="C306">
        <v>2024</v>
      </c>
      <c r="D306" t="s">
        <v>44</v>
      </c>
      <c r="E306" t="s">
        <v>62</v>
      </c>
      <c r="F306" t="s">
        <v>14</v>
      </c>
      <c r="G306" t="s">
        <v>27</v>
      </c>
      <c r="H306" s="4">
        <v>991</v>
      </c>
      <c r="I306">
        <v>5.8</v>
      </c>
      <c r="J306">
        <v>81262</v>
      </c>
    </row>
    <row r="307" spans="1:10">
      <c r="A307">
        <v>114</v>
      </c>
      <c r="B307" t="s">
        <v>245</v>
      </c>
      <c r="C307">
        <v>2024</v>
      </c>
      <c r="D307" t="s">
        <v>44</v>
      </c>
      <c r="E307" t="s">
        <v>41</v>
      </c>
      <c r="F307" t="s">
        <v>42</v>
      </c>
      <c r="G307" t="s">
        <v>30</v>
      </c>
      <c r="H307" s="4">
        <v>515</v>
      </c>
      <c r="I307">
        <v>7</v>
      </c>
      <c r="J307">
        <v>80855</v>
      </c>
    </row>
    <row r="308" spans="1:10">
      <c r="A308">
        <v>78</v>
      </c>
      <c r="B308" t="s">
        <v>246</v>
      </c>
      <c r="C308">
        <v>2024</v>
      </c>
      <c r="D308" t="s">
        <v>85</v>
      </c>
      <c r="E308" t="s">
        <v>12</v>
      </c>
      <c r="F308" t="s">
        <v>49</v>
      </c>
      <c r="G308" t="s">
        <v>14</v>
      </c>
      <c r="H308" s="4">
        <v>323</v>
      </c>
      <c r="I308">
        <v>11.8</v>
      </c>
      <c r="J308">
        <v>80750</v>
      </c>
    </row>
    <row r="309" spans="1:10">
      <c r="A309">
        <v>175</v>
      </c>
      <c r="B309" t="s">
        <v>247</v>
      </c>
      <c r="C309">
        <v>2024</v>
      </c>
      <c r="D309" t="s">
        <v>61</v>
      </c>
      <c r="E309" t="s">
        <v>41</v>
      </c>
      <c r="F309" t="s">
        <v>14</v>
      </c>
      <c r="G309" t="s">
        <v>14</v>
      </c>
      <c r="H309" s="4">
        <v>886</v>
      </c>
      <c r="I309">
        <v>4.3</v>
      </c>
      <c r="J309">
        <v>80626</v>
      </c>
    </row>
    <row r="310" spans="1:10">
      <c r="A310">
        <v>75</v>
      </c>
      <c r="B310" t="s">
        <v>243</v>
      </c>
      <c r="C310">
        <v>2024</v>
      </c>
      <c r="D310" t="s">
        <v>38</v>
      </c>
      <c r="E310" t="s">
        <v>62</v>
      </c>
      <c r="F310" t="s">
        <v>45</v>
      </c>
      <c r="G310" t="s">
        <v>15</v>
      </c>
      <c r="H310" s="4">
        <v>448</v>
      </c>
      <c r="I310">
        <v>10.9</v>
      </c>
      <c r="J310">
        <v>79744</v>
      </c>
    </row>
    <row r="311" spans="1:10">
      <c r="A311">
        <v>294</v>
      </c>
      <c r="B311" t="s">
        <v>248</v>
      </c>
      <c r="C311">
        <v>2024</v>
      </c>
      <c r="D311" t="s">
        <v>38</v>
      </c>
      <c r="E311" t="s">
        <v>62</v>
      </c>
      <c r="F311" t="s">
        <v>42</v>
      </c>
      <c r="G311" t="s">
        <v>30</v>
      </c>
      <c r="H311" s="4">
        <v>903</v>
      </c>
      <c r="I311">
        <v>9.8000000000000007</v>
      </c>
      <c r="J311">
        <v>78561</v>
      </c>
    </row>
    <row r="312" spans="1:10">
      <c r="A312">
        <v>69</v>
      </c>
      <c r="B312" t="s">
        <v>106</v>
      </c>
      <c r="C312">
        <v>2024</v>
      </c>
      <c r="D312" t="s">
        <v>38</v>
      </c>
      <c r="E312" t="s">
        <v>33</v>
      </c>
      <c r="F312" t="s">
        <v>42</v>
      </c>
      <c r="G312" t="s">
        <v>27</v>
      </c>
      <c r="H312" s="4">
        <v>310</v>
      </c>
      <c r="I312">
        <v>5.0999999999999996</v>
      </c>
      <c r="J312">
        <v>77500</v>
      </c>
    </row>
    <row r="313" spans="1:10">
      <c r="A313">
        <v>411</v>
      </c>
      <c r="B313" t="s">
        <v>249</v>
      </c>
      <c r="C313">
        <v>2024</v>
      </c>
      <c r="D313" t="s">
        <v>61</v>
      </c>
      <c r="E313" t="s">
        <v>48</v>
      </c>
      <c r="F313" t="s">
        <v>45</v>
      </c>
      <c r="G313" t="s">
        <v>26</v>
      </c>
      <c r="H313" s="4">
        <v>328</v>
      </c>
      <c r="I313">
        <v>6.3</v>
      </c>
      <c r="J313">
        <v>76752</v>
      </c>
    </row>
    <row r="314" spans="1:10">
      <c r="A314">
        <v>8</v>
      </c>
      <c r="B314" t="s">
        <v>89</v>
      </c>
      <c r="C314">
        <v>2024</v>
      </c>
      <c r="D314" t="s">
        <v>61</v>
      </c>
      <c r="E314" t="s">
        <v>41</v>
      </c>
      <c r="F314" t="s">
        <v>42</v>
      </c>
      <c r="G314" t="s">
        <v>15</v>
      </c>
      <c r="H314" s="4">
        <v>790</v>
      </c>
      <c r="I314">
        <v>9.4</v>
      </c>
      <c r="J314">
        <v>76630</v>
      </c>
    </row>
    <row r="315" spans="1:10">
      <c r="A315">
        <v>468</v>
      </c>
      <c r="B315" t="s">
        <v>250</v>
      </c>
      <c r="C315">
        <v>2024</v>
      </c>
      <c r="D315" t="s">
        <v>32</v>
      </c>
      <c r="E315" t="s">
        <v>41</v>
      </c>
      <c r="F315" t="s">
        <v>21</v>
      </c>
      <c r="G315" t="s">
        <v>27</v>
      </c>
      <c r="H315" s="4">
        <v>342</v>
      </c>
      <c r="I315">
        <v>3.8</v>
      </c>
      <c r="J315">
        <v>76608</v>
      </c>
    </row>
    <row r="316" spans="1:10">
      <c r="A316">
        <v>233</v>
      </c>
      <c r="B316" t="s">
        <v>251</v>
      </c>
      <c r="C316">
        <v>2024</v>
      </c>
      <c r="D316" t="s">
        <v>61</v>
      </c>
      <c r="E316" t="s">
        <v>33</v>
      </c>
      <c r="F316" t="s">
        <v>14</v>
      </c>
      <c r="G316" t="s">
        <v>26</v>
      </c>
      <c r="H316" s="4">
        <v>735</v>
      </c>
      <c r="I316">
        <v>3.7</v>
      </c>
      <c r="J316">
        <v>76440</v>
      </c>
    </row>
    <row r="317" spans="1:10">
      <c r="A317">
        <v>326</v>
      </c>
      <c r="B317" t="s">
        <v>43</v>
      </c>
      <c r="C317">
        <v>2024</v>
      </c>
      <c r="D317" t="s">
        <v>44</v>
      </c>
      <c r="E317" t="s">
        <v>48</v>
      </c>
      <c r="F317" t="s">
        <v>51</v>
      </c>
      <c r="G317" t="s">
        <v>22</v>
      </c>
      <c r="H317" s="4">
        <v>331</v>
      </c>
      <c r="I317">
        <v>4.2</v>
      </c>
      <c r="J317">
        <v>76130</v>
      </c>
    </row>
    <row r="318" spans="1:10">
      <c r="A318">
        <v>391</v>
      </c>
      <c r="B318" t="s">
        <v>252</v>
      </c>
      <c r="C318">
        <v>2024</v>
      </c>
      <c r="D318" t="s">
        <v>61</v>
      </c>
      <c r="E318" t="s">
        <v>41</v>
      </c>
      <c r="F318" t="s">
        <v>51</v>
      </c>
      <c r="G318" t="s">
        <v>15</v>
      </c>
      <c r="H318" s="4">
        <v>728</v>
      </c>
      <c r="I318">
        <v>9.1999999999999993</v>
      </c>
      <c r="J318">
        <v>75712</v>
      </c>
    </row>
    <row r="319" spans="1:10">
      <c r="A319">
        <v>388</v>
      </c>
      <c r="B319" t="s">
        <v>253</v>
      </c>
      <c r="C319">
        <v>2024</v>
      </c>
      <c r="D319" t="s">
        <v>85</v>
      </c>
      <c r="E319" t="s">
        <v>20</v>
      </c>
      <c r="F319" t="s">
        <v>42</v>
      </c>
      <c r="G319" t="s">
        <v>22</v>
      </c>
      <c r="H319" s="4">
        <v>548</v>
      </c>
      <c r="I319">
        <v>13.9</v>
      </c>
      <c r="J319">
        <v>75076</v>
      </c>
    </row>
    <row r="320" spans="1:10">
      <c r="A320">
        <v>147</v>
      </c>
      <c r="B320" t="s">
        <v>254</v>
      </c>
      <c r="C320">
        <v>2024</v>
      </c>
      <c r="D320" t="s">
        <v>40</v>
      </c>
      <c r="E320" t="s">
        <v>33</v>
      </c>
      <c r="F320" t="s">
        <v>13</v>
      </c>
      <c r="G320" t="s">
        <v>26</v>
      </c>
      <c r="H320" s="4">
        <v>539</v>
      </c>
      <c r="I320">
        <v>9.3000000000000007</v>
      </c>
      <c r="J320">
        <v>74921</v>
      </c>
    </row>
    <row r="321" spans="1:10">
      <c r="A321">
        <v>355</v>
      </c>
      <c r="B321" t="s">
        <v>58</v>
      </c>
      <c r="C321">
        <v>2024</v>
      </c>
      <c r="D321" t="s">
        <v>32</v>
      </c>
      <c r="E321" t="s">
        <v>23</v>
      </c>
      <c r="F321" t="s">
        <v>42</v>
      </c>
      <c r="G321" t="s">
        <v>15</v>
      </c>
      <c r="H321" s="4">
        <v>415</v>
      </c>
      <c r="I321">
        <v>13.9</v>
      </c>
      <c r="J321">
        <v>74700</v>
      </c>
    </row>
    <row r="322" spans="1:10">
      <c r="A322">
        <v>192</v>
      </c>
      <c r="B322" t="s">
        <v>164</v>
      </c>
      <c r="C322">
        <v>2024</v>
      </c>
      <c r="D322" t="s">
        <v>25</v>
      </c>
      <c r="E322" t="s">
        <v>12</v>
      </c>
      <c r="F322" t="s">
        <v>45</v>
      </c>
      <c r="G322" t="s">
        <v>30</v>
      </c>
      <c r="H322" s="4">
        <v>308</v>
      </c>
      <c r="I322">
        <v>6</v>
      </c>
      <c r="J322">
        <v>74536</v>
      </c>
    </row>
    <row r="323" spans="1:10">
      <c r="A323">
        <v>415</v>
      </c>
      <c r="B323" t="s">
        <v>255</v>
      </c>
      <c r="C323">
        <v>2024</v>
      </c>
      <c r="D323" t="s">
        <v>55</v>
      </c>
      <c r="E323" t="s">
        <v>36</v>
      </c>
      <c r="F323" t="s">
        <v>49</v>
      </c>
      <c r="G323" t="s">
        <v>14</v>
      </c>
      <c r="H323" s="4">
        <v>479</v>
      </c>
      <c r="I323">
        <v>7.8</v>
      </c>
      <c r="J323">
        <v>73766</v>
      </c>
    </row>
    <row r="324" spans="1:10">
      <c r="A324">
        <v>94</v>
      </c>
      <c r="B324" t="s">
        <v>256</v>
      </c>
      <c r="C324">
        <v>2024</v>
      </c>
      <c r="D324" t="s">
        <v>61</v>
      </c>
      <c r="E324" t="s">
        <v>36</v>
      </c>
      <c r="F324" t="s">
        <v>21</v>
      </c>
      <c r="G324" t="s">
        <v>15</v>
      </c>
      <c r="H324" s="4">
        <v>362</v>
      </c>
      <c r="I324">
        <v>5.6</v>
      </c>
      <c r="J324">
        <v>72762</v>
      </c>
    </row>
    <row r="325" spans="1:10">
      <c r="A325">
        <v>198</v>
      </c>
      <c r="B325" t="s">
        <v>257</v>
      </c>
      <c r="C325">
        <v>2024</v>
      </c>
      <c r="D325" t="s">
        <v>11</v>
      </c>
      <c r="E325" t="s">
        <v>12</v>
      </c>
      <c r="F325" t="s">
        <v>42</v>
      </c>
      <c r="G325" t="s">
        <v>22</v>
      </c>
      <c r="H325" s="4">
        <v>316</v>
      </c>
      <c r="I325">
        <v>9.1</v>
      </c>
      <c r="J325">
        <v>72680</v>
      </c>
    </row>
    <row r="326" spans="1:10">
      <c r="A326">
        <v>261</v>
      </c>
      <c r="B326" t="s">
        <v>186</v>
      </c>
      <c r="C326">
        <v>2024</v>
      </c>
      <c r="D326" t="s">
        <v>19</v>
      </c>
      <c r="E326" t="s">
        <v>12</v>
      </c>
      <c r="F326" t="s">
        <v>49</v>
      </c>
      <c r="G326" t="s">
        <v>27</v>
      </c>
      <c r="H326" s="4">
        <v>323</v>
      </c>
      <c r="I326">
        <v>3.5</v>
      </c>
      <c r="J326">
        <v>70737</v>
      </c>
    </row>
    <row r="327" spans="1:10">
      <c r="A327">
        <v>82</v>
      </c>
      <c r="B327" t="s">
        <v>258</v>
      </c>
      <c r="C327">
        <v>2024</v>
      </c>
      <c r="D327" t="s">
        <v>19</v>
      </c>
      <c r="E327" t="s">
        <v>23</v>
      </c>
      <c r="F327" t="s">
        <v>51</v>
      </c>
      <c r="G327" t="s">
        <v>15</v>
      </c>
      <c r="H327" s="4">
        <v>704</v>
      </c>
      <c r="I327">
        <v>12.8</v>
      </c>
      <c r="J327">
        <v>70400</v>
      </c>
    </row>
    <row r="328" spans="1:10">
      <c r="A328">
        <v>95</v>
      </c>
      <c r="B328" t="s">
        <v>259</v>
      </c>
      <c r="C328">
        <v>2024</v>
      </c>
      <c r="D328" t="s">
        <v>85</v>
      </c>
      <c r="E328" t="s">
        <v>36</v>
      </c>
      <c r="F328" t="s">
        <v>49</v>
      </c>
      <c r="G328" t="s">
        <v>15</v>
      </c>
      <c r="H328" s="4">
        <v>574</v>
      </c>
      <c r="I328">
        <v>11.4</v>
      </c>
      <c r="J328">
        <v>70028</v>
      </c>
    </row>
    <row r="329" spans="1:10">
      <c r="A329">
        <v>212</v>
      </c>
      <c r="B329" t="s">
        <v>260</v>
      </c>
      <c r="C329">
        <v>2024</v>
      </c>
      <c r="D329" t="s">
        <v>19</v>
      </c>
      <c r="E329" t="s">
        <v>20</v>
      </c>
      <c r="F329" t="s">
        <v>14</v>
      </c>
      <c r="G329" t="s">
        <v>22</v>
      </c>
      <c r="H329" s="4">
        <v>482</v>
      </c>
      <c r="I329">
        <v>11.4</v>
      </c>
      <c r="J329">
        <v>69890</v>
      </c>
    </row>
    <row r="330" spans="1:10">
      <c r="A330">
        <v>122</v>
      </c>
      <c r="B330" t="s">
        <v>195</v>
      </c>
      <c r="C330">
        <v>2024</v>
      </c>
      <c r="D330" t="s">
        <v>25</v>
      </c>
      <c r="E330" t="s">
        <v>36</v>
      </c>
      <c r="F330" t="s">
        <v>51</v>
      </c>
      <c r="G330" t="s">
        <v>15</v>
      </c>
      <c r="H330" s="4">
        <v>475</v>
      </c>
      <c r="I330">
        <v>9.9</v>
      </c>
      <c r="J330">
        <v>69825</v>
      </c>
    </row>
    <row r="331" spans="1:10">
      <c r="A331">
        <v>117</v>
      </c>
      <c r="B331" t="s">
        <v>119</v>
      </c>
      <c r="C331">
        <v>2024</v>
      </c>
      <c r="D331" t="s">
        <v>85</v>
      </c>
      <c r="E331" t="s">
        <v>20</v>
      </c>
      <c r="F331" t="s">
        <v>49</v>
      </c>
      <c r="G331" t="s">
        <v>14</v>
      </c>
      <c r="H331" s="4">
        <v>747</v>
      </c>
      <c r="I331">
        <v>5</v>
      </c>
      <c r="J331">
        <v>69471</v>
      </c>
    </row>
    <row r="332" spans="1:10">
      <c r="A332">
        <v>452</v>
      </c>
      <c r="B332" t="s">
        <v>115</v>
      </c>
      <c r="C332">
        <v>2024</v>
      </c>
      <c r="D332" t="s">
        <v>95</v>
      </c>
      <c r="E332" t="s">
        <v>23</v>
      </c>
      <c r="F332" t="s">
        <v>51</v>
      </c>
      <c r="G332" t="s">
        <v>15</v>
      </c>
      <c r="H332" s="4">
        <v>617</v>
      </c>
      <c r="I332">
        <v>12.5</v>
      </c>
      <c r="J332">
        <v>69104</v>
      </c>
    </row>
    <row r="333" spans="1:10">
      <c r="A333">
        <v>257</v>
      </c>
      <c r="B333" t="s">
        <v>80</v>
      </c>
      <c r="C333">
        <v>2024</v>
      </c>
      <c r="D333" t="s">
        <v>19</v>
      </c>
      <c r="E333" t="s">
        <v>36</v>
      </c>
      <c r="F333" t="s">
        <v>21</v>
      </c>
      <c r="G333" t="s">
        <v>26</v>
      </c>
      <c r="H333" s="4">
        <v>542</v>
      </c>
      <c r="I333">
        <v>9.3000000000000007</v>
      </c>
      <c r="J333">
        <v>68834</v>
      </c>
    </row>
    <row r="334" spans="1:10">
      <c r="A334">
        <v>25</v>
      </c>
      <c r="B334" t="s">
        <v>118</v>
      </c>
      <c r="C334">
        <v>2024</v>
      </c>
      <c r="D334" t="s">
        <v>32</v>
      </c>
      <c r="E334" t="s">
        <v>23</v>
      </c>
      <c r="F334" t="s">
        <v>14</v>
      </c>
      <c r="G334" t="s">
        <v>30</v>
      </c>
      <c r="H334" s="4">
        <v>312</v>
      </c>
      <c r="I334">
        <v>10.3</v>
      </c>
      <c r="J334">
        <v>68640</v>
      </c>
    </row>
    <row r="335" spans="1:10">
      <c r="A335">
        <v>17</v>
      </c>
      <c r="B335" t="s">
        <v>152</v>
      </c>
      <c r="C335">
        <v>2024</v>
      </c>
      <c r="D335" t="s">
        <v>25</v>
      </c>
      <c r="E335" t="s">
        <v>36</v>
      </c>
      <c r="F335" t="s">
        <v>45</v>
      </c>
      <c r="G335" t="s">
        <v>14</v>
      </c>
      <c r="H335" s="4">
        <v>363</v>
      </c>
      <c r="I335">
        <v>9.9</v>
      </c>
      <c r="J335">
        <v>68244</v>
      </c>
    </row>
    <row r="336" spans="1:10">
      <c r="A336">
        <v>269</v>
      </c>
      <c r="B336" t="s">
        <v>231</v>
      </c>
      <c r="C336">
        <v>2024</v>
      </c>
      <c r="D336" t="s">
        <v>61</v>
      </c>
      <c r="E336" t="s">
        <v>36</v>
      </c>
      <c r="F336" t="s">
        <v>13</v>
      </c>
      <c r="G336" t="s">
        <v>26</v>
      </c>
      <c r="H336" s="4">
        <v>419</v>
      </c>
      <c r="I336">
        <v>9</v>
      </c>
      <c r="J336">
        <v>67878</v>
      </c>
    </row>
    <row r="337" spans="1:10">
      <c r="A337">
        <v>57</v>
      </c>
      <c r="B337" t="s">
        <v>261</v>
      </c>
      <c r="C337">
        <v>2024</v>
      </c>
      <c r="D337" t="s">
        <v>32</v>
      </c>
      <c r="E337" t="s">
        <v>33</v>
      </c>
      <c r="F337" t="s">
        <v>13</v>
      </c>
      <c r="G337" t="s">
        <v>15</v>
      </c>
      <c r="H337" s="4">
        <v>534</v>
      </c>
      <c r="I337">
        <v>12.5</v>
      </c>
      <c r="J337">
        <v>66750</v>
      </c>
    </row>
    <row r="338" spans="1:10">
      <c r="A338">
        <v>98</v>
      </c>
      <c r="B338" t="s">
        <v>260</v>
      </c>
      <c r="C338">
        <v>2024</v>
      </c>
      <c r="D338" t="s">
        <v>19</v>
      </c>
      <c r="E338" t="s">
        <v>41</v>
      </c>
      <c r="F338" t="s">
        <v>14</v>
      </c>
      <c r="G338" t="s">
        <v>30</v>
      </c>
      <c r="H338" s="4">
        <v>297</v>
      </c>
      <c r="I338">
        <v>11.8</v>
      </c>
      <c r="J338">
        <v>66528</v>
      </c>
    </row>
    <row r="339" spans="1:10">
      <c r="A339">
        <v>332</v>
      </c>
      <c r="B339" t="s">
        <v>34</v>
      </c>
      <c r="C339">
        <v>2024</v>
      </c>
      <c r="D339" t="s">
        <v>35</v>
      </c>
      <c r="E339" t="s">
        <v>41</v>
      </c>
      <c r="F339" t="s">
        <v>13</v>
      </c>
      <c r="G339" t="s">
        <v>26</v>
      </c>
      <c r="H339" s="4">
        <v>431</v>
      </c>
      <c r="I339">
        <v>13.3</v>
      </c>
      <c r="J339">
        <v>66374</v>
      </c>
    </row>
    <row r="340" spans="1:10">
      <c r="A340">
        <v>357</v>
      </c>
      <c r="B340" t="s">
        <v>262</v>
      </c>
      <c r="C340">
        <v>2024</v>
      </c>
      <c r="D340" t="s">
        <v>40</v>
      </c>
      <c r="E340" t="s">
        <v>20</v>
      </c>
      <c r="F340" t="s">
        <v>51</v>
      </c>
      <c r="G340" t="s">
        <v>27</v>
      </c>
      <c r="H340" s="4">
        <v>556</v>
      </c>
      <c r="I340">
        <v>8.1</v>
      </c>
      <c r="J340">
        <v>66164</v>
      </c>
    </row>
    <row r="341" spans="1:10">
      <c r="A341">
        <v>47</v>
      </c>
      <c r="B341" t="s">
        <v>107</v>
      </c>
      <c r="C341">
        <v>2024</v>
      </c>
      <c r="D341" t="s">
        <v>25</v>
      </c>
      <c r="E341" t="s">
        <v>62</v>
      </c>
      <c r="F341" t="s">
        <v>49</v>
      </c>
      <c r="G341" t="s">
        <v>30</v>
      </c>
      <c r="H341" s="4">
        <v>550</v>
      </c>
      <c r="I341">
        <v>7.1</v>
      </c>
      <c r="J341">
        <v>66000</v>
      </c>
    </row>
    <row r="342" spans="1:10">
      <c r="A342">
        <v>227</v>
      </c>
      <c r="B342" t="s">
        <v>10</v>
      </c>
      <c r="C342">
        <v>2024</v>
      </c>
      <c r="D342" t="s">
        <v>11</v>
      </c>
      <c r="E342" t="s">
        <v>33</v>
      </c>
      <c r="F342" t="s">
        <v>45</v>
      </c>
      <c r="G342" t="s">
        <v>30</v>
      </c>
      <c r="H342" s="4">
        <v>637</v>
      </c>
      <c r="I342">
        <v>3.8</v>
      </c>
      <c r="J342">
        <v>65611</v>
      </c>
    </row>
    <row r="343" spans="1:10">
      <c r="A343">
        <v>405</v>
      </c>
      <c r="B343" t="s">
        <v>263</v>
      </c>
      <c r="C343">
        <v>2024</v>
      </c>
      <c r="D343" t="s">
        <v>95</v>
      </c>
      <c r="E343" t="s">
        <v>48</v>
      </c>
      <c r="F343" t="s">
        <v>21</v>
      </c>
      <c r="G343" t="s">
        <v>30</v>
      </c>
      <c r="H343" s="4">
        <v>647</v>
      </c>
      <c r="I343">
        <v>7.6</v>
      </c>
      <c r="J343">
        <v>65347</v>
      </c>
    </row>
    <row r="344" spans="1:10">
      <c r="A344">
        <v>324</v>
      </c>
      <c r="B344" t="s">
        <v>264</v>
      </c>
      <c r="C344">
        <v>2024</v>
      </c>
      <c r="D344" t="s">
        <v>32</v>
      </c>
      <c r="E344" t="s">
        <v>12</v>
      </c>
      <c r="F344" t="s">
        <v>45</v>
      </c>
      <c r="G344" t="s">
        <v>27</v>
      </c>
      <c r="H344" s="4">
        <v>644</v>
      </c>
      <c r="I344">
        <v>3.5</v>
      </c>
      <c r="J344">
        <v>64400</v>
      </c>
    </row>
    <row r="345" spans="1:10">
      <c r="A345">
        <v>143</v>
      </c>
      <c r="B345" t="s">
        <v>265</v>
      </c>
      <c r="C345">
        <v>2024</v>
      </c>
      <c r="D345" t="s">
        <v>85</v>
      </c>
      <c r="E345" t="s">
        <v>33</v>
      </c>
      <c r="F345" t="s">
        <v>51</v>
      </c>
      <c r="G345" t="s">
        <v>30</v>
      </c>
      <c r="H345" s="4">
        <v>549</v>
      </c>
      <c r="I345">
        <v>8</v>
      </c>
      <c r="J345">
        <v>64233</v>
      </c>
    </row>
    <row r="346" spans="1:10">
      <c r="A346">
        <v>446</v>
      </c>
      <c r="B346" t="s">
        <v>266</v>
      </c>
      <c r="C346">
        <v>2024</v>
      </c>
      <c r="D346" t="s">
        <v>85</v>
      </c>
      <c r="E346" t="s">
        <v>48</v>
      </c>
      <c r="F346" t="s">
        <v>14</v>
      </c>
      <c r="G346" t="s">
        <v>22</v>
      </c>
      <c r="H346" s="4">
        <v>259</v>
      </c>
      <c r="I346">
        <v>11.1</v>
      </c>
      <c r="J346">
        <v>63973</v>
      </c>
    </row>
    <row r="347" spans="1:10">
      <c r="A347">
        <v>275</v>
      </c>
      <c r="B347" t="s">
        <v>267</v>
      </c>
      <c r="C347">
        <v>2024</v>
      </c>
      <c r="D347" t="s">
        <v>95</v>
      </c>
      <c r="E347" t="s">
        <v>12</v>
      </c>
      <c r="F347" t="s">
        <v>45</v>
      </c>
      <c r="G347" t="s">
        <v>22</v>
      </c>
      <c r="H347" s="4">
        <v>364</v>
      </c>
      <c r="I347">
        <v>10.5</v>
      </c>
      <c r="J347">
        <v>63336</v>
      </c>
    </row>
    <row r="348" spans="1:10">
      <c r="A348">
        <v>435</v>
      </c>
      <c r="B348" t="s">
        <v>268</v>
      </c>
      <c r="C348">
        <v>2024</v>
      </c>
      <c r="D348" t="s">
        <v>61</v>
      </c>
      <c r="E348" t="s">
        <v>36</v>
      </c>
      <c r="F348" t="s">
        <v>42</v>
      </c>
      <c r="G348" t="s">
        <v>15</v>
      </c>
      <c r="H348" s="4">
        <v>403</v>
      </c>
      <c r="I348">
        <v>12</v>
      </c>
      <c r="J348">
        <v>62868</v>
      </c>
    </row>
    <row r="349" spans="1:10">
      <c r="A349">
        <v>443</v>
      </c>
      <c r="B349" t="s">
        <v>225</v>
      </c>
      <c r="C349">
        <v>2024</v>
      </c>
      <c r="D349" t="s">
        <v>44</v>
      </c>
      <c r="E349" t="s">
        <v>62</v>
      </c>
      <c r="F349" t="s">
        <v>21</v>
      </c>
      <c r="G349" t="s">
        <v>27</v>
      </c>
      <c r="H349" s="4">
        <v>510</v>
      </c>
      <c r="I349">
        <v>8.9</v>
      </c>
      <c r="J349">
        <v>62730</v>
      </c>
    </row>
    <row r="350" spans="1:10">
      <c r="A350">
        <v>349</v>
      </c>
      <c r="B350" t="s">
        <v>202</v>
      </c>
      <c r="C350">
        <v>2024</v>
      </c>
      <c r="D350" t="s">
        <v>85</v>
      </c>
      <c r="E350" t="s">
        <v>41</v>
      </c>
      <c r="F350" t="s">
        <v>21</v>
      </c>
      <c r="G350" t="s">
        <v>14</v>
      </c>
      <c r="H350" s="4">
        <v>320</v>
      </c>
      <c r="I350">
        <v>8.6</v>
      </c>
      <c r="J350">
        <v>62720</v>
      </c>
    </row>
    <row r="351" spans="1:10">
      <c r="A351">
        <v>160</v>
      </c>
      <c r="B351" t="s">
        <v>68</v>
      </c>
      <c r="C351">
        <v>2024</v>
      </c>
      <c r="D351" t="s">
        <v>38</v>
      </c>
      <c r="E351" t="s">
        <v>20</v>
      </c>
      <c r="F351" t="s">
        <v>42</v>
      </c>
      <c r="G351" t="s">
        <v>14</v>
      </c>
      <c r="H351" s="4">
        <v>373</v>
      </c>
      <c r="I351">
        <v>3.8</v>
      </c>
      <c r="J351">
        <v>62664</v>
      </c>
    </row>
    <row r="352" spans="1:10">
      <c r="A352">
        <v>54</v>
      </c>
      <c r="B352" t="s">
        <v>233</v>
      </c>
      <c r="C352">
        <v>2024</v>
      </c>
      <c r="D352" t="s">
        <v>55</v>
      </c>
      <c r="E352" t="s">
        <v>23</v>
      </c>
      <c r="F352" t="s">
        <v>45</v>
      </c>
      <c r="G352" t="s">
        <v>15</v>
      </c>
      <c r="H352" s="4">
        <v>355</v>
      </c>
      <c r="I352">
        <v>9</v>
      </c>
      <c r="J352">
        <v>61770</v>
      </c>
    </row>
    <row r="353" spans="1:10">
      <c r="A353">
        <v>55</v>
      </c>
      <c r="B353" t="s">
        <v>148</v>
      </c>
      <c r="C353">
        <v>2024</v>
      </c>
      <c r="D353" t="s">
        <v>95</v>
      </c>
      <c r="E353" t="s">
        <v>12</v>
      </c>
      <c r="F353" t="s">
        <v>51</v>
      </c>
      <c r="G353" t="s">
        <v>27</v>
      </c>
      <c r="H353" s="4">
        <v>681</v>
      </c>
      <c r="I353">
        <v>7</v>
      </c>
      <c r="J353">
        <v>61290</v>
      </c>
    </row>
    <row r="354" spans="1:10">
      <c r="A354">
        <v>130</v>
      </c>
      <c r="B354" t="s">
        <v>217</v>
      </c>
      <c r="C354">
        <v>2024</v>
      </c>
      <c r="D354" t="s">
        <v>85</v>
      </c>
      <c r="E354" t="s">
        <v>36</v>
      </c>
      <c r="F354" t="s">
        <v>51</v>
      </c>
      <c r="G354" t="s">
        <v>27</v>
      </c>
      <c r="H354" s="4">
        <v>710</v>
      </c>
      <c r="I354">
        <v>9.6</v>
      </c>
      <c r="J354">
        <v>61060</v>
      </c>
    </row>
    <row r="355" spans="1:10">
      <c r="A355">
        <v>63</v>
      </c>
      <c r="B355" t="s">
        <v>269</v>
      </c>
      <c r="C355">
        <v>2024</v>
      </c>
      <c r="D355" t="s">
        <v>44</v>
      </c>
      <c r="E355" t="s">
        <v>41</v>
      </c>
      <c r="F355" t="s">
        <v>13</v>
      </c>
      <c r="G355" t="s">
        <v>30</v>
      </c>
      <c r="H355" s="4">
        <v>415</v>
      </c>
      <c r="I355">
        <v>9.4</v>
      </c>
      <c r="J355">
        <v>61005</v>
      </c>
    </row>
    <row r="356" spans="1:10">
      <c r="A356">
        <v>447</v>
      </c>
      <c r="B356" t="s">
        <v>270</v>
      </c>
      <c r="C356">
        <v>2024</v>
      </c>
      <c r="D356" t="s">
        <v>85</v>
      </c>
      <c r="E356" t="s">
        <v>62</v>
      </c>
      <c r="F356" t="s">
        <v>49</v>
      </c>
      <c r="G356" t="s">
        <v>22</v>
      </c>
      <c r="H356" s="4">
        <v>588</v>
      </c>
      <c r="I356">
        <v>6.8</v>
      </c>
      <c r="J356">
        <v>59976</v>
      </c>
    </row>
    <row r="357" spans="1:10">
      <c r="A357">
        <v>276</v>
      </c>
      <c r="B357" t="s">
        <v>137</v>
      </c>
      <c r="C357">
        <v>2024</v>
      </c>
      <c r="D357" t="s">
        <v>38</v>
      </c>
      <c r="E357" t="s">
        <v>12</v>
      </c>
      <c r="F357" t="s">
        <v>42</v>
      </c>
      <c r="G357" t="s">
        <v>26</v>
      </c>
      <c r="H357" s="4">
        <v>331</v>
      </c>
      <c r="I357">
        <v>8.8000000000000007</v>
      </c>
      <c r="J357">
        <v>59911</v>
      </c>
    </row>
    <row r="358" spans="1:10">
      <c r="A358">
        <v>401</v>
      </c>
      <c r="B358" t="s">
        <v>187</v>
      </c>
      <c r="C358">
        <v>2024</v>
      </c>
      <c r="D358" t="s">
        <v>55</v>
      </c>
      <c r="E358" t="s">
        <v>12</v>
      </c>
      <c r="F358" t="s">
        <v>13</v>
      </c>
      <c r="G358" t="s">
        <v>22</v>
      </c>
      <c r="H358" s="4">
        <v>365</v>
      </c>
      <c r="I358">
        <v>11.1</v>
      </c>
      <c r="J358">
        <v>58765</v>
      </c>
    </row>
    <row r="359" spans="1:10">
      <c r="A359">
        <v>56</v>
      </c>
      <c r="B359" t="s">
        <v>271</v>
      </c>
      <c r="C359">
        <v>2024</v>
      </c>
      <c r="D359" t="s">
        <v>44</v>
      </c>
      <c r="E359" t="s">
        <v>33</v>
      </c>
      <c r="F359" t="s">
        <v>21</v>
      </c>
      <c r="G359" t="s">
        <v>27</v>
      </c>
      <c r="H359" s="4">
        <v>260</v>
      </c>
      <c r="I359">
        <v>6.9</v>
      </c>
      <c r="J359">
        <v>57980</v>
      </c>
    </row>
    <row r="360" spans="1:10">
      <c r="A360">
        <v>115</v>
      </c>
      <c r="B360" t="s">
        <v>118</v>
      </c>
      <c r="C360">
        <v>2024</v>
      </c>
      <c r="D360" t="s">
        <v>32</v>
      </c>
      <c r="E360" t="s">
        <v>20</v>
      </c>
      <c r="F360" t="s">
        <v>42</v>
      </c>
      <c r="G360" t="s">
        <v>15</v>
      </c>
      <c r="H360" s="4">
        <v>611</v>
      </c>
      <c r="I360">
        <v>3.5</v>
      </c>
      <c r="J360">
        <v>56823</v>
      </c>
    </row>
    <row r="361" spans="1:10">
      <c r="A361">
        <v>432</v>
      </c>
      <c r="B361" t="s">
        <v>184</v>
      </c>
      <c r="C361">
        <v>2024</v>
      </c>
      <c r="D361" t="s">
        <v>25</v>
      </c>
      <c r="E361" t="s">
        <v>23</v>
      </c>
      <c r="F361" t="s">
        <v>14</v>
      </c>
      <c r="G361" t="s">
        <v>26</v>
      </c>
      <c r="H361" s="4">
        <v>258</v>
      </c>
      <c r="I361">
        <v>11.8</v>
      </c>
      <c r="J361">
        <v>55986</v>
      </c>
    </row>
    <row r="362" spans="1:10">
      <c r="A362">
        <v>400</v>
      </c>
      <c r="B362" t="s">
        <v>245</v>
      </c>
      <c r="C362">
        <v>2024</v>
      </c>
      <c r="D362" t="s">
        <v>44</v>
      </c>
      <c r="E362" t="s">
        <v>20</v>
      </c>
      <c r="F362" t="s">
        <v>51</v>
      </c>
      <c r="G362" t="s">
        <v>14</v>
      </c>
      <c r="H362" s="4">
        <v>554</v>
      </c>
      <c r="I362">
        <v>10.8</v>
      </c>
      <c r="J362">
        <v>55954</v>
      </c>
    </row>
    <row r="363" spans="1:10">
      <c r="A363">
        <v>478</v>
      </c>
      <c r="B363" t="s">
        <v>132</v>
      </c>
      <c r="C363">
        <v>2024</v>
      </c>
      <c r="D363" t="s">
        <v>95</v>
      </c>
      <c r="E363" t="s">
        <v>33</v>
      </c>
      <c r="F363" t="s">
        <v>21</v>
      </c>
      <c r="G363" t="s">
        <v>26</v>
      </c>
      <c r="H363" s="4">
        <v>586</v>
      </c>
      <c r="I363">
        <v>5.4</v>
      </c>
      <c r="J363">
        <v>55670</v>
      </c>
    </row>
    <row r="364" spans="1:10">
      <c r="A364">
        <v>371</v>
      </c>
      <c r="B364" t="s">
        <v>186</v>
      </c>
      <c r="C364">
        <v>2024</v>
      </c>
      <c r="D364" t="s">
        <v>19</v>
      </c>
      <c r="E364" t="s">
        <v>48</v>
      </c>
      <c r="F364" t="s">
        <v>51</v>
      </c>
      <c r="G364" t="s">
        <v>27</v>
      </c>
      <c r="H364" s="4">
        <v>670</v>
      </c>
      <c r="I364">
        <v>13.5</v>
      </c>
      <c r="J364">
        <v>55610</v>
      </c>
    </row>
    <row r="365" spans="1:10">
      <c r="A365">
        <v>141</v>
      </c>
      <c r="B365" t="s">
        <v>150</v>
      </c>
      <c r="C365">
        <v>2024</v>
      </c>
      <c r="D365" t="s">
        <v>25</v>
      </c>
      <c r="E365" t="s">
        <v>62</v>
      </c>
      <c r="F365" t="s">
        <v>13</v>
      </c>
      <c r="G365" t="s">
        <v>27</v>
      </c>
      <c r="H365" s="4">
        <v>510</v>
      </c>
      <c r="I365">
        <v>13.9</v>
      </c>
      <c r="J365">
        <v>55590</v>
      </c>
    </row>
    <row r="366" spans="1:10">
      <c r="A366">
        <v>72</v>
      </c>
      <c r="B366" t="s">
        <v>196</v>
      </c>
      <c r="C366">
        <v>2024</v>
      </c>
      <c r="D366" t="s">
        <v>32</v>
      </c>
      <c r="E366" t="s">
        <v>12</v>
      </c>
      <c r="F366" t="s">
        <v>13</v>
      </c>
      <c r="G366" t="s">
        <v>15</v>
      </c>
      <c r="H366" s="4">
        <v>223</v>
      </c>
      <c r="I366">
        <v>6.1</v>
      </c>
      <c r="J366">
        <v>55527</v>
      </c>
    </row>
    <row r="367" spans="1:10">
      <c r="A367">
        <v>481</v>
      </c>
      <c r="B367" t="s">
        <v>117</v>
      </c>
      <c r="C367">
        <v>2024</v>
      </c>
      <c r="D367" t="s">
        <v>35</v>
      </c>
      <c r="E367" t="s">
        <v>12</v>
      </c>
      <c r="F367" t="s">
        <v>45</v>
      </c>
      <c r="G367" t="s">
        <v>30</v>
      </c>
      <c r="H367" s="4">
        <v>466</v>
      </c>
      <c r="I367">
        <v>13.7</v>
      </c>
      <c r="J367">
        <v>55454</v>
      </c>
    </row>
    <row r="368" spans="1:10">
      <c r="A368">
        <v>297</v>
      </c>
      <c r="B368" t="s">
        <v>201</v>
      </c>
      <c r="C368">
        <v>2024</v>
      </c>
      <c r="D368" t="s">
        <v>19</v>
      </c>
      <c r="E368" t="s">
        <v>12</v>
      </c>
      <c r="F368" t="s">
        <v>45</v>
      </c>
      <c r="G368" t="s">
        <v>15</v>
      </c>
      <c r="H368" s="4">
        <v>344</v>
      </c>
      <c r="I368">
        <v>6.4</v>
      </c>
      <c r="J368">
        <v>55384</v>
      </c>
    </row>
    <row r="369" spans="1:10">
      <c r="A369">
        <v>246</v>
      </c>
      <c r="B369" t="s">
        <v>106</v>
      </c>
      <c r="C369">
        <v>2024</v>
      </c>
      <c r="D369" t="s">
        <v>38</v>
      </c>
      <c r="E369" t="s">
        <v>36</v>
      </c>
      <c r="F369" t="s">
        <v>14</v>
      </c>
      <c r="G369" t="s">
        <v>22</v>
      </c>
      <c r="H369" s="4">
        <v>260</v>
      </c>
      <c r="I369">
        <v>10.8</v>
      </c>
      <c r="J369">
        <v>55120</v>
      </c>
    </row>
    <row r="370" spans="1:10">
      <c r="A370">
        <v>20</v>
      </c>
      <c r="B370" t="s">
        <v>199</v>
      </c>
      <c r="C370">
        <v>2024</v>
      </c>
      <c r="D370" t="s">
        <v>85</v>
      </c>
      <c r="E370" t="s">
        <v>23</v>
      </c>
      <c r="F370" t="s">
        <v>21</v>
      </c>
      <c r="G370" t="s">
        <v>22</v>
      </c>
      <c r="H370" s="4">
        <v>373</v>
      </c>
      <c r="I370">
        <v>8</v>
      </c>
      <c r="J370">
        <v>54831</v>
      </c>
    </row>
    <row r="371" spans="1:10">
      <c r="A371">
        <v>173</v>
      </c>
      <c r="B371" t="s">
        <v>257</v>
      </c>
      <c r="C371">
        <v>2024</v>
      </c>
      <c r="D371" t="s">
        <v>11</v>
      </c>
      <c r="E371" t="s">
        <v>41</v>
      </c>
      <c r="F371" t="s">
        <v>21</v>
      </c>
      <c r="G371" t="s">
        <v>30</v>
      </c>
      <c r="H371" s="4">
        <v>271</v>
      </c>
      <c r="I371">
        <v>10.4</v>
      </c>
      <c r="J371">
        <v>54200</v>
      </c>
    </row>
    <row r="372" spans="1:10">
      <c r="A372">
        <v>176</v>
      </c>
      <c r="B372" t="s">
        <v>211</v>
      </c>
      <c r="C372">
        <v>2024</v>
      </c>
      <c r="D372" t="s">
        <v>25</v>
      </c>
      <c r="E372" t="s">
        <v>23</v>
      </c>
      <c r="F372" t="s">
        <v>45</v>
      </c>
      <c r="G372" t="s">
        <v>14</v>
      </c>
      <c r="H372" s="4">
        <v>249</v>
      </c>
      <c r="I372">
        <v>5.6</v>
      </c>
      <c r="J372">
        <v>54033</v>
      </c>
    </row>
    <row r="373" spans="1:10">
      <c r="A373">
        <v>208</v>
      </c>
      <c r="B373" t="s">
        <v>272</v>
      </c>
      <c r="C373">
        <v>2024</v>
      </c>
      <c r="D373" t="s">
        <v>95</v>
      </c>
      <c r="E373" t="s">
        <v>33</v>
      </c>
      <c r="F373" t="s">
        <v>45</v>
      </c>
      <c r="G373" t="s">
        <v>30</v>
      </c>
      <c r="H373" s="4">
        <v>217</v>
      </c>
      <c r="I373">
        <v>6</v>
      </c>
      <c r="J373">
        <v>54033</v>
      </c>
    </row>
    <row r="374" spans="1:10">
      <c r="A374">
        <v>81</v>
      </c>
      <c r="B374" t="s">
        <v>273</v>
      </c>
      <c r="C374">
        <v>2024</v>
      </c>
      <c r="D374" t="s">
        <v>35</v>
      </c>
      <c r="E374" t="s">
        <v>20</v>
      </c>
      <c r="F374" t="s">
        <v>51</v>
      </c>
      <c r="G374" t="s">
        <v>26</v>
      </c>
      <c r="H374" s="4">
        <v>539</v>
      </c>
      <c r="I374">
        <v>6</v>
      </c>
      <c r="J374">
        <v>53361</v>
      </c>
    </row>
    <row r="375" spans="1:10">
      <c r="A375">
        <v>354</v>
      </c>
      <c r="B375" t="s">
        <v>274</v>
      </c>
      <c r="C375">
        <v>2024</v>
      </c>
      <c r="D375" t="s">
        <v>11</v>
      </c>
      <c r="E375" t="s">
        <v>23</v>
      </c>
      <c r="F375" t="s">
        <v>42</v>
      </c>
      <c r="G375" t="s">
        <v>26</v>
      </c>
      <c r="H375" s="4">
        <v>214</v>
      </c>
      <c r="I375">
        <v>10.5</v>
      </c>
      <c r="J375">
        <v>53286</v>
      </c>
    </row>
    <row r="376" spans="1:10">
      <c r="A376">
        <v>70</v>
      </c>
      <c r="B376" t="s">
        <v>90</v>
      </c>
      <c r="C376">
        <v>2024</v>
      </c>
      <c r="D376" t="s">
        <v>32</v>
      </c>
      <c r="E376" t="s">
        <v>20</v>
      </c>
      <c r="F376" t="s">
        <v>14</v>
      </c>
      <c r="G376" t="s">
        <v>15</v>
      </c>
      <c r="H376" s="4">
        <v>666</v>
      </c>
      <c r="I376">
        <v>7.5</v>
      </c>
      <c r="J376">
        <v>53280</v>
      </c>
    </row>
    <row r="377" spans="1:10">
      <c r="A377">
        <v>289</v>
      </c>
      <c r="B377" t="s">
        <v>29</v>
      </c>
      <c r="C377">
        <v>2024</v>
      </c>
      <c r="D377" t="s">
        <v>19</v>
      </c>
      <c r="E377" t="s">
        <v>12</v>
      </c>
      <c r="F377" t="s">
        <v>21</v>
      </c>
      <c r="G377" t="s">
        <v>26</v>
      </c>
      <c r="H377" s="4">
        <v>387</v>
      </c>
      <c r="I377">
        <v>4.8</v>
      </c>
      <c r="J377">
        <v>53019</v>
      </c>
    </row>
    <row r="378" spans="1:10">
      <c r="A378">
        <v>461</v>
      </c>
      <c r="B378" t="s">
        <v>96</v>
      </c>
      <c r="C378">
        <v>2024</v>
      </c>
      <c r="D378" t="s">
        <v>85</v>
      </c>
      <c r="E378" t="s">
        <v>20</v>
      </c>
      <c r="F378" t="s">
        <v>51</v>
      </c>
      <c r="G378" t="s">
        <v>26</v>
      </c>
      <c r="H378" s="4">
        <v>464</v>
      </c>
      <c r="I378">
        <v>14</v>
      </c>
      <c r="J378">
        <v>52432</v>
      </c>
    </row>
    <row r="379" spans="1:10">
      <c r="A379">
        <v>331</v>
      </c>
      <c r="B379" t="s">
        <v>275</v>
      </c>
      <c r="C379">
        <v>2024</v>
      </c>
      <c r="D379" t="s">
        <v>95</v>
      </c>
      <c r="E379" t="s">
        <v>41</v>
      </c>
      <c r="F379" t="s">
        <v>49</v>
      </c>
      <c r="G379" t="s">
        <v>14</v>
      </c>
      <c r="H379" s="4">
        <v>408</v>
      </c>
      <c r="I379">
        <v>7.6</v>
      </c>
      <c r="J379">
        <v>51000</v>
      </c>
    </row>
    <row r="380" spans="1:10">
      <c r="A380">
        <v>359</v>
      </c>
      <c r="B380" t="s">
        <v>63</v>
      </c>
      <c r="C380">
        <v>2024</v>
      </c>
      <c r="D380" t="s">
        <v>25</v>
      </c>
      <c r="E380" t="s">
        <v>41</v>
      </c>
      <c r="F380" t="s">
        <v>51</v>
      </c>
      <c r="G380" t="s">
        <v>27</v>
      </c>
      <c r="H380" s="4">
        <v>256</v>
      </c>
      <c r="I380">
        <v>9.5</v>
      </c>
      <c r="J380">
        <v>49664</v>
      </c>
    </row>
    <row r="381" spans="1:10">
      <c r="A381">
        <v>144</v>
      </c>
      <c r="B381" t="s">
        <v>104</v>
      </c>
      <c r="C381">
        <v>2024</v>
      </c>
      <c r="D381" t="s">
        <v>35</v>
      </c>
      <c r="E381" t="s">
        <v>33</v>
      </c>
      <c r="F381" t="s">
        <v>14</v>
      </c>
      <c r="G381" t="s">
        <v>30</v>
      </c>
      <c r="H381" s="4">
        <v>329</v>
      </c>
      <c r="I381">
        <v>12.5</v>
      </c>
      <c r="J381">
        <v>49350</v>
      </c>
    </row>
    <row r="382" spans="1:10">
      <c r="A382">
        <v>464</v>
      </c>
      <c r="B382" t="s">
        <v>134</v>
      </c>
      <c r="C382">
        <v>2024</v>
      </c>
      <c r="D382" t="s">
        <v>55</v>
      </c>
      <c r="E382" t="s">
        <v>36</v>
      </c>
      <c r="F382" t="s">
        <v>51</v>
      </c>
      <c r="G382" t="s">
        <v>30</v>
      </c>
      <c r="H382" s="4">
        <v>244</v>
      </c>
      <c r="I382">
        <v>3</v>
      </c>
      <c r="J382">
        <v>49288</v>
      </c>
    </row>
    <row r="383" spans="1:10">
      <c r="A383">
        <v>97</v>
      </c>
      <c r="B383" t="s">
        <v>221</v>
      </c>
      <c r="C383">
        <v>2024</v>
      </c>
      <c r="D383" t="s">
        <v>40</v>
      </c>
      <c r="E383" t="s">
        <v>48</v>
      </c>
      <c r="F383" t="s">
        <v>13</v>
      </c>
      <c r="G383" t="s">
        <v>27</v>
      </c>
      <c r="H383" s="4">
        <v>205</v>
      </c>
      <c r="I383">
        <v>9.5</v>
      </c>
      <c r="J383">
        <v>49200</v>
      </c>
    </row>
    <row r="384" spans="1:10">
      <c r="A384">
        <v>397</v>
      </c>
      <c r="B384" t="s">
        <v>276</v>
      </c>
      <c r="C384">
        <v>2024</v>
      </c>
      <c r="D384" t="s">
        <v>40</v>
      </c>
      <c r="E384" t="s">
        <v>33</v>
      </c>
      <c r="F384" t="s">
        <v>49</v>
      </c>
      <c r="G384" t="s">
        <v>26</v>
      </c>
      <c r="H384" s="4">
        <v>205</v>
      </c>
      <c r="I384">
        <v>6.7</v>
      </c>
      <c r="J384">
        <v>48585</v>
      </c>
    </row>
    <row r="385" spans="1:10">
      <c r="A385">
        <v>427</v>
      </c>
      <c r="B385" t="s">
        <v>100</v>
      </c>
      <c r="C385">
        <v>2024</v>
      </c>
      <c r="D385" t="s">
        <v>95</v>
      </c>
      <c r="E385" t="s">
        <v>36</v>
      </c>
      <c r="F385" t="s">
        <v>42</v>
      </c>
      <c r="G385" t="s">
        <v>15</v>
      </c>
      <c r="H385" s="4">
        <v>285</v>
      </c>
      <c r="I385">
        <v>3.2</v>
      </c>
      <c r="J385">
        <v>47595</v>
      </c>
    </row>
    <row r="386" spans="1:10">
      <c r="A386">
        <v>484</v>
      </c>
      <c r="B386" t="s">
        <v>74</v>
      </c>
      <c r="C386">
        <v>2024</v>
      </c>
      <c r="D386" t="s">
        <v>55</v>
      </c>
      <c r="E386" t="s">
        <v>41</v>
      </c>
      <c r="F386" t="s">
        <v>51</v>
      </c>
      <c r="G386" t="s">
        <v>14</v>
      </c>
      <c r="H386" s="4">
        <v>409</v>
      </c>
      <c r="I386">
        <v>4.3</v>
      </c>
      <c r="J386">
        <v>47035</v>
      </c>
    </row>
    <row r="387" spans="1:10">
      <c r="A387">
        <v>345</v>
      </c>
      <c r="B387" t="s">
        <v>56</v>
      </c>
      <c r="C387">
        <v>2024</v>
      </c>
      <c r="D387" t="s">
        <v>55</v>
      </c>
      <c r="E387" t="s">
        <v>12</v>
      </c>
      <c r="F387" t="s">
        <v>13</v>
      </c>
      <c r="G387" t="s">
        <v>30</v>
      </c>
      <c r="H387" s="4">
        <v>217</v>
      </c>
      <c r="I387">
        <v>8.8000000000000007</v>
      </c>
      <c r="J387">
        <v>46655</v>
      </c>
    </row>
    <row r="388" spans="1:10">
      <c r="A388">
        <v>368</v>
      </c>
      <c r="B388" t="s">
        <v>244</v>
      </c>
      <c r="C388">
        <v>2024</v>
      </c>
      <c r="D388" t="s">
        <v>44</v>
      </c>
      <c r="E388" t="s">
        <v>62</v>
      </c>
      <c r="F388" t="s">
        <v>49</v>
      </c>
      <c r="G388" t="s">
        <v>26</v>
      </c>
      <c r="H388" s="4">
        <v>466</v>
      </c>
      <c r="I388">
        <v>6.6</v>
      </c>
      <c r="J388">
        <v>46600</v>
      </c>
    </row>
    <row r="389" spans="1:10">
      <c r="A389">
        <v>37</v>
      </c>
      <c r="B389" t="s">
        <v>238</v>
      </c>
      <c r="C389">
        <v>2024</v>
      </c>
      <c r="D389" t="s">
        <v>35</v>
      </c>
      <c r="E389" t="s">
        <v>23</v>
      </c>
      <c r="F389" t="s">
        <v>45</v>
      </c>
      <c r="G389" t="s">
        <v>22</v>
      </c>
      <c r="H389" s="4">
        <v>487</v>
      </c>
      <c r="I389">
        <v>12.5</v>
      </c>
      <c r="J389">
        <v>46265</v>
      </c>
    </row>
    <row r="390" spans="1:10">
      <c r="A390">
        <v>152</v>
      </c>
      <c r="B390" t="s">
        <v>277</v>
      </c>
      <c r="C390">
        <v>2024</v>
      </c>
      <c r="D390" t="s">
        <v>11</v>
      </c>
      <c r="E390" t="s">
        <v>33</v>
      </c>
      <c r="F390" t="s">
        <v>14</v>
      </c>
      <c r="G390" t="s">
        <v>27</v>
      </c>
      <c r="H390" s="4">
        <v>214</v>
      </c>
      <c r="I390">
        <v>12.4</v>
      </c>
      <c r="J390">
        <v>46224</v>
      </c>
    </row>
    <row r="391" spans="1:10">
      <c r="A391">
        <v>283</v>
      </c>
      <c r="B391" t="s">
        <v>145</v>
      </c>
      <c r="C391">
        <v>2024</v>
      </c>
      <c r="D391" t="s">
        <v>32</v>
      </c>
      <c r="E391" t="s">
        <v>12</v>
      </c>
      <c r="F391" t="s">
        <v>21</v>
      </c>
      <c r="G391" t="s">
        <v>30</v>
      </c>
      <c r="H391" s="4">
        <v>534</v>
      </c>
      <c r="I391">
        <v>11.7</v>
      </c>
      <c r="J391">
        <v>45924</v>
      </c>
    </row>
    <row r="392" spans="1:10">
      <c r="A392">
        <v>100</v>
      </c>
      <c r="B392" t="s">
        <v>175</v>
      </c>
      <c r="C392">
        <v>2024</v>
      </c>
      <c r="D392" t="s">
        <v>35</v>
      </c>
      <c r="E392" t="s">
        <v>62</v>
      </c>
      <c r="F392" t="s">
        <v>42</v>
      </c>
      <c r="G392" t="s">
        <v>15</v>
      </c>
      <c r="H392" s="4">
        <v>266</v>
      </c>
      <c r="I392">
        <v>7.8</v>
      </c>
      <c r="J392">
        <v>45752</v>
      </c>
    </row>
    <row r="393" spans="1:10">
      <c r="A393">
        <v>3</v>
      </c>
      <c r="B393" t="s">
        <v>173</v>
      </c>
      <c r="C393">
        <v>2024</v>
      </c>
      <c r="D393" t="s">
        <v>40</v>
      </c>
      <c r="E393" t="s">
        <v>48</v>
      </c>
      <c r="F393" t="s">
        <v>42</v>
      </c>
      <c r="G393" t="s">
        <v>27</v>
      </c>
      <c r="H393" s="4">
        <v>526</v>
      </c>
      <c r="I393">
        <v>8.6</v>
      </c>
      <c r="J393">
        <v>45236</v>
      </c>
    </row>
    <row r="394" spans="1:10">
      <c r="A394">
        <v>467</v>
      </c>
      <c r="B394" t="s">
        <v>112</v>
      </c>
      <c r="C394">
        <v>2024</v>
      </c>
      <c r="D394" t="s">
        <v>25</v>
      </c>
      <c r="E394" t="s">
        <v>20</v>
      </c>
      <c r="F394" t="s">
        <v>51</v>
      </c>
      <c r="G394" t="s">
        <v>14</v>
      </c>
      <c r="H394" s="4">
        <v>259</v>
      </c>
      <c r="I394">
        <v>4.0999999999999996</v>
      </c>
      <c r="J394">
        <v>45066</v>
      </c>
    </row>
    <row r="395" spans="1:10">
      <c r="A395">
        <v>35</v>
      </c>
      <c r="B395" t="s">
        <v>271</v>
      </c>
      <c r="C395">
        <v>2024</v>
      </c>
      <c r="D395" t="s">
        <v>44</v>
      </c>
      <c r="E395" t="s">
        <v>36</v>
      </c>
      <c r="F395" t="s">
        <v>13</v>
      </c>
      <c r="G395" t="s">
        <v>27</v>
      </c>
      <c r="H395" s="4">
        <v>204</v>
      </c>
      <c r="I395">
        <v>7.9</v>
      </c>
      <c r="J395">
        <v>44880</v>
      </c>
    </row>
    <row r="396" spans="1:10">
      <c r="A396">
        <v>333</v>
      </c>
      <c r="B396" t="s">
        <v>111</v>
      </c>
      <c r="C396">
        <v>2024</v>
      </c>
      <c r="D396" t="s">
        <v>38</v>
      </c>
      <c r="E396" t="s">
        <v>20</v>
      </c>
      <c r="F396" t="s">
        <v>45</v>
      </c>
      <c r="G396" t="s">
        <v>27</v>
      </c>
      <c r="H396" s="4">
        <v>269</v>
      </c>
      <c r="I396">
        <v>13.2</v>
      </c>
      <c r="J396">
        <v>44385</v>
      </c>
    </row>
    <row r="397" spans="1:10">
      <c r="A397">
        <v>273</v>
      </c>
      <c r="B397" t="s">
        <v>278</v>
      </c>
      <c r="C397">
        <v>2024</v>
      </c>
      <c r="D397" t="s">
        <v>55</v>
      </c>
      <c r="E397" t="s">
        <v>62</v>
      </c>
      <c r="F397" t="s">
        <v>13</v>
      </c>
      <c r="G397" t="s">
        <v>15</v>
      </c>
      <c r="H397" s="4">
        <v>377</v>
      </c>
      <c r="I397">
        <v>13.5</v>
      </c>
      <c r="J397">
        <v>43732</v>
      </c>
    </row>
    <row r="398" spans="1:10">
      <c r="A398">
        <v>88</v>
      </c>
      <c r="B398" t="s">
        <v>279</v>
      </c>
      <c r="C398">
        <v>2024</v>
      </c>
      <c r="D398" t="s">
        <v>11</v>
      </c>
      <c r="E398" t="s">
        <v>41</v>
      </c>
      <c r="F398" t="s">
        <v>45</v>
      </c>
      <c r="G398" t="s">
        <v>30</v>
      </c>
      <c r="H398" s="4">
        <v>388</v>
      </c>
      <c r="I398">
        <v>12.2</v>
      </c>
      <c r="J398">
        <v>43456</v>
      </c>
    </row>
    <row r="399" spans="1:10">
      <c r="A399">
        <v>134</v>
      </c>
      <c r="B399" t="s">
        <v>280</v>
      </c>
      <c r="C399">
        <v>2024</v>
      </c>
      <c r="D399" t="s">
        <v>19</v>
      </c>
      <c r="E399" t="s">
        <v>33</v>
      </c>
      <c r="F399" t="s">
        <v>42</v>
      </c>
      <c r="G399" t="s">
        <v>14</v>
      </c>
      <c r="H399" s="4">
        <v>264</v>
      </c>
      <c r="I399">
        <v>12.4</v>
      </c>
      <c r="J399">
        <v>43296</v>
      </c>
    </row>
    <row r="400" spans="1:10">
      <c r="A400">
        <v>383</v>
      </c>
      <c r="B400" t="s">
        <v>281</v>
      </c>
      <c r="C400">
        <v>2024</v>
      </c>
      <c r="D400" t="s">
        <v>11</v>
      </c>
      <c r="E400" t="s">
        <v>62</v>
      </c>
      <c r="F400" t="s">
        <v>42</v>
      </c>
      <c r="G400" t="s">
        <v>14</v>
      </c>
      <c r="H400" s="4">
        <v>173</v>
      </c>
      <c r="I400">
        <v>9.8000000000000007</v>
      </c>
      <c r="J400">
        <v>43250</v>
      </c>
    </row>
    <row r="401" spans="1:10">
      <c r="A401">
        <v>96</v>
      </c>
      <c r="B401" t="s">
        <v>140</v>
      </c>
      <c r="C401">
        <v>2024</v>
      </c>
      <c r="D401" t="s">
        <v>19</v>
      </c>
      <c r="E401" t="s">
        <v>33</v>
      </c>
      <c r="F401" t="s">
        <v>45</v>
      </c>
      <c r="G401" t="s">
        <v>27</v>
      </c>
      <c r="H401" s="4">
        <v>271</v>
      </c>
      <c r="I401">
        <v>9.4</v>
      </c>
      <c r="J401">
        <v>43089</v>
      </c>
    </row>
    <row r="402" spans="1:10">
      <c r="A402">
        <v>24</v>
      </c>
      <c r="B402" t="s">
        <v>193</v>
      </c>
      <c r="C402">
        <v>2024</v>
      </c>
      <c r="D402" t="s">
        <v>44</v>
      </c>
      <c r="E402" t="s">
        <v>36</v>
      </c>
      <c r="F402" t="s">
        <v>49</v>
      </c>
      <c r="G402" t="s">
        <v>30</v>
      </c>
      <c r="H402" s="4">
        <v>211</v>
      </c>
      <c r="I402">
        <v>3.9</v>
      </c>
      <c r="J402">
        <v>43044</v>
      </c>
    </row>
    <row r="403" spans="1:10">
      <c r="A403">
        <v>278</v>
      </c>
      <c r="B403" t="s">
        <v>282</v>
      </c>
      <c r="C403">
        <v>2024</v>
      </c>
      <c r="D403" t="s">
        <v>38</v>
      </c>
      <c r="E403" t="s">
        <v>62</v>
      </c>
      <c r="F403" t="s">
        <v>51</v>
      </c>
      <c r="G403" t="s">
        <v>30</v>
      </c>
      <c r="H403" s="4">
        <v>291</v>
      </c>
      <c r="I403">
        <v>5.9</v>
      </c>
      <c r="J403">
        <v>42486</v>
      </c>
    </row>
    <row r="404" spans="1:10">
      <c r="A404">
        <v>376</v>
      </c>
      <c r="B404" t="s">
        <v>226</v>
      </c>
      <c r="C404">
        <v>2024</v>
      </c>
      <c r="D404" t="s">
        <v>38</v>
      </c>
      <c r="E404" t="s">
        <v>20</v>
      </c>
      <c r="F404" t="s">
        <v>21</v>
      </c>
      <c r="G404" t="s">
        <v>30</v>
      </c>
      <c r="H404" s="4">
        <v>503</v>
      </c>
      <c r="I404">
        <v>11.2</v>
      </c>
      <c r="J404">
        <v>42252</v>
      </c>
    </row>
    <row r="405" spans="1:10">
      <c r="A405">
        <v>183</v>
      </c>
      <c r="B405" t="s">
        <v>76</v>
      </c>
      <c r="C405">
        <v>2024</v>
      </c>
      <c r="D405" t="s">
        <v>40</v>
      </c>
      <c r="E405" t="s">
        <v>48</v>
      </c>
      <c r="F405" t="s">
        <v>21</v>
      </c>
      <c r="G405" t="s">
        <v>15</v>
      </c>
      <c r="H405" s="4">
        <v>190</v>
      </c>
      <c r="I405">
        <v>12.1</v>
      </c>
      <c r="J405">
        <v>41990</v>
      </c>
    </row>
    <row r="406" spans="1:10">
      <c r="A406">
        <v>157</v>
      </c>
      <c r="B406" t="s">
        <v>153</v>
      </c>
      <c r="C406">
        <v>2024</v>
      </c>
      <c r="D406" t="s">
        <v>11</v>
      </c>
      <c r="E406" t="s">
        <v>33</v>
      </c>
      <c r="F406" t="s">
        <v>21</v>
      </c>
      <c r="G406" t="s">
        <v>27</v>
      </c>
      <c r="H406" s="4">
        <v>418</v>
      </c>
      <c r="I406">
        <v>4.9000000000000004</v>
      </c>
      <c r="J406">
        <v>41800</v>
      </c>
    </row>
    <row r="407" spans="1:10">
      <c r="A407">
        <v>1</v>
      </c>
      <c r="B407" t="s">
        <v>109</v>
      </c>
      <c r="C407">
        <v>2024</v>
      </c>
      <c r="D407" t="s">
        <v>61</v>
      </c>
      <c r="E407" t="s">
        <v>48</v>
      </c>
      <c r="F407" t="s">
        <v>51</v>
      </c>
      <c r="G407" t="s">
        <v>15</v>
      </c>
      <c r="H407" s="4">
        <v>278</v>
      </c>
      <c r="I407">
        <v>3.3</v>
      </c>
      <c r="J407">
        <v>41700</v>
      </c>
    </row>
    <row r="408" spans="1:10">
      <c r="A408">
        <v>33</v>
      </c>
      <c r="B408" t="s">
        <v>283</v>
      </c>
      <c r="C408">
        <v>2024</v>
      </c>
      <c r="D408" t="s">
        <v>95</v>
      </c>
      <c r="E408" t="s">
        <v>36</v>
      </c>
      <c r="F408" t="s">
        <v>51</v>
      </c>
      <c r="G408" t="s">
        <v>15</v>
      </c>
      <c r="H408" s="4">
        <v>251</v>
      </c>
      <c r="I408">
        <v>3.7</v>
      </c>
      <c r="J408">
        <v>41666</v>
      </c>
    </row>
    <row r="409" spans="1:10">
      <c r="A409">
        <v>28</v>
      </c>
      <c r="B409" t="s">
        <v>230</v>
      </c>
      <c r="C409">
        <v>2024</v>
      </c>
      <c r="D409" t="s">
        <v>40</v>
      </c>
      <c r="E409" t="s">
        <v>48</v>
      </c>
      <c r="F409" t="s">
        <v>21</v>
      </c>
      <c r="G409" t="s">
        <v>15</v>
      </c>
      <c r="H409" s="4">
        <v>181</v>
      </c>
      <c r="I409">
        <v>6.7</v>
      </c>
      <c r="J409">
        <v>41630</v>
      </c>
    </row>
    <row r="410" spans="1:10">
      <c r="A410">
        <v>127</v>
      </c>
      <c r="B410" t="s">
        <v>218</v>
      </c>
      <c r="C410">
        <v>2024</v>
      </c>
      <c r="D410" t="s">
        <v>44</v>
      </c>
      <c r="E410" t="s">
        <v>20</v>
      </c>
      <c r="F410" t="s">
        <v>21</v>
      </c>
      <c r="G410" t="s">
        <v>27</v>
      </c>
      <c r="H410" s="4">
        <v>341</v>
      </c>
      <c r="I410">
        <v>3.8</v>
      </c>
      <c r="J410">
        <v>41602</v>
      </c>
    </row>
    <row r="411" spans="1:10">
      <c r="A411">
        <v>221</v>
      </c>
      <c r="B411" t="s">
        <v>228</v>
      </c>
      <c r="C411">
        <v>2024</v>
      </c>
      <c r="D411" t="s">
        <v>19</v>
      </c>
      <c r="E411" t="s">
        <v>20</v>
      </c>
      <c r="F411" t="s">
        <v>51</v>
      </c>
      <c r="G411" t="s">
        <v>15</v>
      </c>
      <c r="H411" s="4">
        <v>352</v>
      </c>
      <c r="I411">
        <v>5.6</v>
      </c>
      <c r="J411">
        <v>41184</v>
      </c>
    </row>
    <row r="412" spans="1:10">
      <c r="A412">
        <v>6</v>
      </c>
      <c r="B412" t="s">
        <v>77</v>
      </c>
      <c r="C412">
        <v>2024</v>
      </c>
      <c r="D412" t="s">
        <v>25</v>
      </c>
      <c r="E412" t="s">
        <v>12</v>
      </c>
      <c r="F412" t="s">
        <v>21</v>
      </c>
      <c r="G412" t="s">
        <v>26</v>
      </c>
      <c r="H412" s="4">
        <v>239</v>
      </c>
      <c r="I412">
        <v>7.2</v>
      </c>
      <c r="J412">
        <v>40869</v>
      </c>
    </row>
    <row r="413" spans="1:10">
      <c r="A413">
        <v>363</v>
      </c>
      <c r="B413" t="s">
        <v>225</v>
      </c>
      <c r="C413">
        <v>2024</v>
      </c>
      <c r="D413" t="s">
        <v>44</v>
      </c>
      <c r="E413" t="s">
        <v>23</v>
      </c>
      <c r="F413" t="s">
        <v>42</v>
      </c>
      <c r="G413" t="s">
        <v>27</v>
      </c>
      <c r="H413" s="4">
        <v>174</v>
      </c>
      <c r="I413">
        <v>9.1</v>
      </c>
      <c r="J413">
        <v>40194</v>
      </c>
    </row>
    <row r="414" spans="1:10">
      <c r="A414">
        <v>155</v>
      </c>
      <c r="B414" t="s">
        <v>134</v>
      </c>
      <c r="C414">
        <v>2024</v>
      </c>
      <c r="D414" t="s">
        <v>55</v>
      </c>
      <c r="E414" t="s">
        <v>41</v>
      </c>
      <c r="F414" t="s">
        <v>13</v>
      </c>
      <c r="G414" t="s">
        <v>26</v>
      </c>
      <c r="H414" s="4">
        <v>255</v>
      </c>
      <c r="I414">
        <v>7.9</v>
      </c>
      <c r="J414">
        <v>39780</v>
      </c>
    </row>
    <row r="415" spans="1:10">
      <c r="A415">
        <v>477</v>
      </c>
      <c r="B415" t="s">
        <v>284</v>
      </c>
      <c r="C415">
        <v>2024</v>
      </c>
      <c r="D415" t="s">
        <v>55</v>
      </c>
      <c r="E415" t="s">
        <v>41</v>
      </c>
      <c r="F415" t="s">
        <v>21</v>
      </c>
      <c r="G415" t="s">
        <v>22</v>
      </c>
      <c r="H415" s="4">
        <v>403</v>
      </c>
      <c r="I415">
        <v>11.4</v>
      </c>
      <c r="J415">
        <v>39494</v>
      </c>
    </row>
    <row r="416" spans="1:10">
      <c r="A416">
        <v>167</v>
      </c>
      <c r="B416" t="s">
        <v>86</v>
      </c>
      <c r="C416">
        <v>2024</v>
      </c>
      <c r="D416" t="s">
        <v>32</v>
      </c>
      <c r="E416" t="s">
        <v>33</v>
      </c>
      <c r="F416" t="s">
        <v>51</v>
      </c>
      <c r="G416" t="s">
        <v>15</v>
      </c>
      <c r="H416" s="4">
        <v>234</v>
      </c>
      <c r="I416">
        <v>13</v>
      </c>
      <c r="J416">
        <v>38142</v>
      </c>
    </row>
    <row r="417" spans="1:10">
      <c r="A417">
        <v>240</v>
      </c>
      <c r="B417" t="s">
        <v>268</v>
      </c>
      <c r="C417">
        <v>2024</v>
      </c>
      <c r="D417" t="s">
        <v>61</v>
      </c>
      <c r="E417" t="s">
        <v>23</v>
      </c>
      <c r="F417" t="s">
        <v>51</v>
      </c>
      <c r="G417" t="s">
        <v>27</v>
      </c>
      <c r="H417" s="4">
        <v>318</v>
      </c>
      <c r="I417">
        <v>9.6</v>
      </c>
      <c r="J417">
        <v>37842</v>
      </c>
    </row>
    <row r="418" spans="1:10">
      <c r="A418">
        <v>318</v>
      </c>
      <c r="B418" t="s">
        <v>265</v>
      </c>
      <c r="C418">
        <v>2024</v>
      </c>
      <c r="D418" t="s">
        <v>85</v>
      </c>
      <c r="E418" t="s">
        <v>48</v>
      </c>
      <c r="F418" t="s">
        <v>21</v>
      </c>
      <c r="G418" t="s">
        <v>26</v>
      </c>
      <c r="H418" s="4">
        <v>177</v>
      </c>
      <c r="I418">
        <v>10.8</v>
      </c>
      <c r="J418">
        <v>37524</v>
      </c>
    </row>
    <row r="419" spans="1:10">
      <c r="A419">
        <v>112</v>
      </c>
      <c r="B419" t="s">
        <v>215</v>
      </c>
      <c r="C419">
        <v>2024</v>
      </c>
      <c r="D419" t="s">
        <v>19</v>
      </c>
      <c r="E419" t="s">
        <v>48</v>
      </c>
      <c r="F419" t="s">
        <v>51</v>
      </c>
      <c r="G419" t="s">
        <v>27</v>
      </c>
      <c r="H419" s="4">
        <v>294</v>
      </c>
      <c r="I419">
        <v>11.2</v>
      </c>
      <c r="J419">
        <v>37338</v>
      </c>
    </row>
    <row r="420" spans="1:10">
      <c r="A420">
        <v>272</v>
      </c>
      <c r="B420" t="s">
        <v>94</v>
      </c>
      <c r="C420">
        <v>2024</v>
      </c>
      <c r="D420" t="s">
        <v>95</v>
      </c>
      <c r="E420" t="s">
        <v>12</v>
      </c>
      <c r="F420" t="s">
        <v>21</v>
      </c>
      <c r="G420" t="s">
        <v>27</v>
      </c>
      <c r="H420" s="4">
        <v>203</v>
      </c>
      <c r="I420">
        <v>10.4</v>
      </c>
      <c r="J420">
        <v>37149</v>
      </c>
    </row>
    <row r="421" spans="1:10">
      <c r="A421">
        <v>280</v>
      </c>
      <c r="B421" t="s">
        <v>180</v>
      </c>
      <c r="C421">
        <v>2024</v>
      </c>
      <c r="D421" t="s">
        <v>85</v>
      </c>
      <c r="E421" t="s">
        <v>12</v>
      </c>
      <c r="F421" t="s">
        <v>42</v>
      </c>
      <c r="G421" t="s">
        <v>22</v>
      </c>
      <c r="H421" s="4">
        <v>229</v>
      </c>
      <c r="I421">
        <v>11.9</v>
      </c>
      <c r="J421">
        <v>36869</v>
      </c>
    </row>
    <row r="422" spans="1:10">
      <c r="A422">
        <v>255</v>
      </c>
      <c r="B422" t="s">
        <v>285</v>
      </c>
      <c r="C422">
        <v>2024</v>
      </c>
      <c r="D422" t="s">
        <v>85</v>
      </c>
      <c r="E422" t="s">
        <v>41</v>
      </c>
      <c r="F422" t="s">
        <v>42</v>
      </c>
      <c r="G422" t="s">
        <v>30</v>
      </c>
      <c r="H422" s="4">
        <v>178</v>
      </c>
      <c r="I422">
        <v>4.2</v>
      </c>
      <c r="J422">
        <v>36846</v>
      </c>
    </row>
    <row r="423" spans="1:10">
      <c r="A423">
        <v>346</v>
      </c>
      <c r="B423" t="s">
        <v>157</v>
      </c>
      <c r="C423">
        <v>2024</v>
      </c>
      <c r="D423" t="s">
        <v>25</v>
      </c>
      <c r="E423" t="s">
        <v>48</v>
      </c>
      <c r="F423" t="s">
        <v>21</v>
      </c>
      <c r="G423" t="s">
        <v>30</v>
      </c>
      <c r="H423" s="4">
        <v>176</v>
      </c>
      <c r="I423">
        <v>12.1</v>
      </c>
      <c r="J423">
        <v>36784</v>
      </c>
    </row>
    <row r="424" spans="1:10">
      <c r="A424">
        <v>277</v>
      </c>
      <c r="B424" t="s">
        <v>271</v>
      </c>
      <c r="C424">
        <v>2024</v>
      </c>
      <c r="D424" t="s">
        <v>44</v>
      </c>
      <c r="E424" t="s">
        <v>62</v>
      </c>
      <c r="F424" t="s">
        <v>21</v>
      </c>
      <c r="G424" t="s">
        <v>14</v>
      </c>
      <c r="H424" s="4">
        <v>282</v>
      </c>
      <c r="I424">
        <v>3.3</v>
      </c>
      <c r="J424">
        <v>35814</v>
      </c>
    </row>
    <row r="425" spans="1:10">
      <c r="A425">
        <v>241</v>
      </c>
      <c r="B425" t="s">
        <v>286</v>
      </c>
      <c r="C425">
        <v>2024</v>
      </c>
      <c r="D425" t="s">
        <v>61</v>
      </c>
      <c r="E425" t="s">
        <v>33</v>
      </c>
      <c r="F425" t="s">
        <v>14</v>
      </c>
      <c r="G425" t="s">
        <v>27</v>
      </c>
      <c r="H425" s="4">
        <v>389</v>
      </c>
      <c r="I425">
        <v>10.9</v>
      </c>
      <c r="J425">
        <v>35399</v>
      </c>
    </row>
    <row r="426" spans="1:10">
      <c r="A426">
        <v>482</v>
      </c>
      <c r="B426" t="s">
        <v>287</v>
      </c>
      <c r="C426">
        <v>2024</v>
      </c>
      <c r="D426" t="s">
        <v>61</v>
      </c>
      <c r="E426" t="s">
        <v>48</v>
      </c>
      <c r="F426" t="s">
        <v>13</v>
      </c>
      <c r="G426" t="s">
        <v>15</v>
      </c>
      <c r="H426" s="4">
        <v>185</v>
      </c>
      <c r="I426">
        <v>6.4</v>
      </c>
      <c r="J426">
        <v>35335</v>
      </c>
    </row>
    <row r="427" spans="1:10">
      <c r="A427">
        <v>396</v>
      </c>
      <c r="B427" t="s">
        <v>145</v>
      </c>
      <c r="C427">
        <v>2024</v>
      </c>
      <c r="D427" t="s">
        <v>32</v>
      </c>
      <c r="E427" t="s">
        <v>41</v>
      </c>
      <c r="F427" t="s">
        <v>13</v>
      </c>
      <c r="G427" t="s">
        <v>14</v>
      </c>
      <c r="H427" s="4">
        <v>210</v>
      </c>
      <c r="I427">
        <v>8.5</v>
      </c>
      <c r="J427">
        <v>35280</v>
      </c>
    </row>
    <row r="428" spans="1:10">
      <c r="A428">
        <v>386</v>
      </c>
      <c r="B428" t="s">
        <v>229</v>
      </c>
      <c r="C428">
        <v>2024</v>
      </c>
      <c r="D428" t="s">
        <v>25</v>
      </c>
      <c r="E428" t="s">
        <v>48</v>
      </c>
      <c r="F428" t="s">
        <v>21</v>
      </c>
      <c r="G428" t="s">
        <v>30</v>
      </c>
      <c r="H428" s="4">
        <v>247</v>
      </c>
      <c r="I428">
        <v>8.8000000000000007</v>
      </c>
      <c r="J428">
        <v>34827</v>
      </c>
    </row>
    <row r="429" spans="1:10">
      <c r="A429">
        <v>83</v>
      </c>
      <c r="B429" t="s">
        <v>288</v>
      </c>
      <c r="C429">
        <v>2024</v>
      </c>
      <c r="D429" t="s">
        <v>11</v>
      </c>
      <c r="E429" t="s">
        <v>33</v>
      </c>
      <c r="F429" t="s">
        <v>45</v>
      </c>
      <c r="G429" t="s">
        <v>26</v>
      </c>
      <c r="H429" s="4">
        <v>362</v>
      </c>
      <c r="I429">
        <v>10.8</v>
      </c>
      <c r="J429">
        <v>34752</v>
      </c>
    </row>
    <row r="430" spans="1:10">
      <c r="A430">
        <v>189</v>
      </c>
      <c r="B430" t="s">
        <v>289</v>
      </c>
      <c r="C430">
        <v>2024</v>
      </c>
      <c r="D430" t="s">
        <v>40</v>
      </c>
      <c r="E430" t="s">
        <v>20</v>
      </c>
      <c r="F430" t="s">
        <v>45</v>
      </c>
      <c r="G430" t="s">
        <v>27</v>
      </c>
      <c r="H430" s="4">
        <v>138</v>
      </c>
      <c r="I430">
        <v>11</v>
      </c>
      <c r="J430">
        <v>34224</v>
      </c>
    </row>
    <row r="431" spans="1:10">
      <c r="A431">
        <v>442</v>
      </c>
      <c r="B431" t="s">
        <v>175</v>
      </c>
      <c r="C431">
        <v>2024</v>
      </c>
      <c r="D431" t="s">
        <v>35</v>
      </c>
      <c r="E431" t="s">
        <v>48</v>
      </c>
      <c r="F431" t="s">
        <v>14</v>
      </c>
      <c r="G431" t="s">
        <v>22</v>
      </c>
      <c r="H431" s="4">
        <v>392</v>
      </c>
      <c r="I431">
        <v>3.9</v>
      </c>
      <c r="J431">
        <v>34104</v>
      </c>
    </row>
    <row r="432" spans="1:10">
      <c r="A432">
        <v>46</v>
      </c>
      <c r="B432" t="s">
        <v>226</v>
      </c>
      <c r="C432">
        <v>2024</v>
      </c>
      <c r="D432" t="s">
        <v>38</v>
      </c>
      <c r="E432" t="s">
        <v>20</v>
      </c>
      <c r="F432" t="s">
        <v>51</v>
      </c>
      <c r="G432" t="s">
        <v>26</v>
      </c>
      <c r="H432" s="4">
        <v>254</v>
      </c>
      <c r="I432">
        <v>3.8</v>
      </c>
      <c r="J432">
        <v>34036</v>
      </c>
    </row>
    <row r="433" spans="1:10">
      <c r="A433">
        <v>351</v>
      </c>
      <c r="B433" t="s">
        <v>173</v>
      </c>
      <c r="C433">
        <v>2024</v>
      </c>
      <c r="D433" t="s">
        <v>40</v>
      </c>
      <c r="E433" t="s">
        <v>36</v>
      </c>
      <c r="F433" t="s">
        <v>21</v>
      </c>
      <c r="G433" t="s">
        <v>22</v>
      </c>
      <c r="H433" s="4">
        <v>199</v>
      </c>
      <c r="I433">
        <v>3.5</v>
      </c>
      <c r="J433">
        <v>33432</v>
      </c>
    </row>
    <row r="434" spans="1:10">
      <c r="A434">
        <v>211</v>
      </c>
      <c r="B434" t="s">
        <v>290</v>
      </c>
      <c r="C434">
        <v>2024</v>
      </c>
      <c r="D434" t="s">
        <v>19</v>
      </c>
      <c r="E434" t="s">
        <v>41</v>
      </c>
      <c r="F434" t="s">
        <v>13</v>
      </c>
      <c r="G434" t="s">
        <v>15</v>
      </c>
      <c r="H434" s="4">
        <v>143</v>
      </c>
      <c r="I434">
        <v>5.4</v>
      </c>
      <c r="J434">
        <v>33319</v>
      </c>
    </row>
    <row r="435" spans="1:10">
      <c r="A435">
        <v>286</v>
      </c>
      <c r="B435" t="s">
        <v>243</v>
      </c>
      <c r="C435">
        <v>2024</v>
      </c>
      <c r="D435" t="s">
        <v>38</v>
      </c>
      <c r="E435" t="s">
        <v>36</v>
      </c>
      <c r="F435" t="s">
        <v>45</v>
      </c>
      <c r="G435" t="s">
        <v>14</v>
      </c>
      <c r="H435" s="4">
        <v>201</v>
      </c>
      <c r="I435">
        <v>4.4000000000000004</v>
      </c>
      <c r="J435">
        <v>32361</v>
      </c>
    </row>
    <row r="436" spans="1:10">
      <c r="A436">
        <v>296</v>
      </c>
      <c r="B436" t="s">
        <v>291</v>
      </c>
      <c r="C436">
        <v>2024</v>
      </c>
      <c r="D436" t="s">
        <v>55</v>
      </c>
      <c r="E436" t="s">
        <v>62</v>
      </c>
      <c r="F436" t="s">
        <v>45</v>
      </c>
      <c r="G436" t="s">
        <v>15</v>
      </c>
      <c r="H436" s="4">
        <v>172</v>
      </c>
      <c r="I436">
        <v>4.7</v>
      </c>
      <c r="J436">
        <v>31992</v>
      </c>
    </row>
    <row r="437" spans="1:10">
      <c r="A437">
        <v>436</v>
      </c>
      <c r="B437" t="s">
        <v>174</v>
      </c>
      <c r="C437">
        <v>2024</v>
      </c>
      <c r="D437" t="s">
        <v>19</v>
      </c>
      <c r="E437" t="s">
        <v>23</v>
      </c>
      <c r="F437" t="s">
        <v>14</v>
      </c>
      <c r="G437" t="s">
        <v>27</v>
      </c>
      <c r="H437" s="4">
        <v>291</v>
      </c>
      <c r="I437">
        <v>5.6</v>
      </c>
      <c r="J437">
        <v>31719</v>
      </c>
    </row>
    <row r="438" spans="1:10">
      <c r="A438">
        <v>190</v>
      </c>
      <c r="B438" t="s">
        <v>203</v>
      </c>
      <c r="C438">
        <v>2024</v>
      </c>
      <c r="D438" t="s">
        <v>95</v>
      </c>
      <c r="E438" t="s">
        <v>33</v>
      </c>
      <c r="F438" t="s">
        <v>42</v>
      </c>
      <c r="G438" t="s">
        <v>22</v>
      </c>
      <c r="H438" s="4">
        <v>174</v>
      </c>
      <c r="I438">
        <v>14</v>
      </c>
      <c r="J438">
        <v>31668</v>
      </c>
    </row>
    <row r="439" spans="1:10">
      <c r="A439">
        <v>245</v>
      </c>
      <c r="B439" t="s">
        <v>292</v>
      </c>
      <c r="C439">
        <v>2024</v>
      </c>
      <c r="D439" t="s">
        <v>61</v>
      </c>
      <c r="E439" t="s">
        <v>62</v>
      </c>
      <c r="F439" t="s">
        <v>49</v>
      </c>
      <c r="G439" t="s">
        <v>26</v>
      </c>
      <c r="H439" s="4">
        <v>333</v>
      </c>
      <c r="I439">
        <v>12.6</v>
      </c>
      <c r="J439">
        <v>30969</v>
      </c>
    </row>
    <row r="440" spans="1:10">
      <c r="A440">
        <v>228</v>
      </c>
      <c r="B440" t="s">
        <v>106</v>
      </c>
      <c r="C440">
        <v>2024</v>
      </c>
      <c r="D440" t="s">
        <v>38</v>
      </c>
      <c r="E440" t="s">
        <v>48</v>
      </c>
      <c r="F440" t="s">
        <v>14</v>
      </c>
      <c r="G440" t="s">
        <v>30</v>
      </c>
      <c r="H440" s="4">
        <v>134</v>
      </c>
      <c r="I440">
        <v>7.9</v>
      </c>
      <c r="J440">
        <v>30284</v>
      </c>
    </row>
    <row r="441" spans="1:10">
      <c r="A441">
        <v>49</v>
      </c>
      <c r="B441" t="s">
        <v>224</v>
      </c>
      <c r="C441">
        <v>2024</v>
      </c>
      <c r="D441" t="s">
        <v>19</v>
      </c>
      <c r="E441" t="s">
        <v>20</v>
      </c>
      <c r="F441" t="s">
        <v>13</v>
      </c>
      <c r="G441" t="s">
        <v>22</v>
      </c>
      <c r="H441" s="4">
        <v>262</v>
      </c>
      <c r="I441">
        <v>13.3</v>
      </c>
      <c r="J441">
        <v>29868</v>
      </c>
    </row>
    <row r="442" spans="1:10">
      <c r="A442">
        <v>151</v>
      </c>
      <c r="B442" t="s">
        <v>261</v>
      </c>
      <c r="C442">
        <v>2024</v>
      </c>
      <c r="D442" t="s">
        <v>32</v>
      </c>
      <c r="E442" t="s">
        <v>12</v>
      </c>
      <c r="F442" t="s">
        <v>21</v>
      </c>
      <c r="G442" t="s">
        <v>27</v>
      </c>
      <c r="H442" s="4">
        <v>203</v>
      </c>
      <c r="I442">
        <v>8.1999999999999993</v>
      </c>
      <c r="J442">
        <v>29841</v>
      </c>
    </row>
    <row r="443" spans="1:10">
      <c r="A443">
        <v>30</v>
      </c>
      <c r="B443" t="s">
        <v>205</v>
      </c>
      <c r="C443">
        <v>2024</v>
      </c>
      <c r="D443" t="s">
        <v>19</v>
      </c>
      <c r="E443" t="s">
        <v>62</v>
      </c>
      <c r="F443" t="s">
        <v>51</v>
      </c>
      <c r="G443" t="s">
        <v>30</v>
      </c>
      <c r="H443" s="4">
        <v>195</v>
      </c>
      <c r="I443">
        <v>8.6999999999999993</v>
      </c>
      <c r="J443">
        <v>29445</v>
      </c>
    </row>
    <row r="444" spans="1:10">
      <c r="A444">
        <v>187</v>
      </c>
      <c r="B444" t="s">
        <v>162</v>
      </c>
      <c r="C444">
        <v>2024</v>
      </c>
      <c r="D444" t="s">
        <v>44</v>
      </c>
      <c r="E444" t="s">
        <v>36</v>
      </c>
      <c r="F444" t="s">
        <v>42</v>
      </c>
      <c r="G444" t="s">
        <v>22</v>
      </c>
      <c r="H444" s="4">
        <v>157</v>
      </c>
      <c r="I444">
        <v>4.4000000000000004</v>
      </c>
      <c r="J444">
        <v>29359</v>
      </c>
    </row>
    <row r="445" spans="1:10">
      <c r="A445">
        <v>489</v>
      </c>
      <c r="B445" t="s">
        <v>244</v>
      </c>
      <c r="C445">
        <v>2024</v>
      </c>
      <c r="D445" t="s">
        <v>44</v>
      </c>
      <c r="E445" t="s">
        <v>48</v>
      </c>
      <c r="F445" t="s">
        <v>42</v>
      </c>
      <c r="G445" t="s">
        <v>30</v>
      </c>
      <c r="H445" s="4">
        <v>260</v>
      </c>
      <c r="I445">
        <v>12.8</v>
      </c>
      <c r="J445">
        <v>28340</v>
      </c>
    </row>
    <row r="446" spans="1:10">
      <c r="A446">
        <v>338</v>
      </c>
      <c r="B446" t="s">
        <v>126</v>
      </c>
      <c r="C446">
        <v>2024</v>
      </c>
      <c r="D446" t="s">
        <v>55</v>
      </c>
      <c r="E446" t="s">
        <v>62</v>
      </c>
      <c r="F446" t="s">
        <v>14</v>
      </c>
      <c r="G446" t="s">
        <v>15</v>
      </c>
      <c r="H446" s="4">
        <v>245</v>
      </c>
      <c r="I446">
        <v>5</v>
      </c>
      <c r="J446">
        <v>28175</v>
      </c>
    </row>
    <row r="447" spans="1:10">
      <c r="A447">
        <v>170</v>
      </c>
      <c r="B447" t="s">
        <v>293</v>
      </c>
      <c r="C447">
        <v>2024</v>
      </c>
      <c r="D447" t="s">
        <v>85</v>
      </c>
      <c r="E447" t="s">
        <v>33</v>
      </c>
      <c r="F447" t="s">
        <v>49</v>
      </c>
      <c r="G447" t="s">
        <v>30</v>
      </c>
      <c r="H447" s="4">
        <v>204</v>
      </c>
      <c r="I447">
        <v>4.5</v>
      </c>
      <c r="J447">
        <v>27948</v>
      </c>
    </row>
    <row r="448" spans="1:10">
      <c r="A448">
        <v>381</v>
      </c>
      <c r="B448" t="s">
        <v>294</v>
      </c>
      <c r="C448">
        <v>2024</v>
      </c>
      <c r="D448" t="s">
        <v>25</v>
      </c>
      <c r="E448" t="s">
        <v>23</v>
      </c>
      <c r="F448" t="s">
        <v>49</v>
      </c>
      <c r="G448" t="s">
        <v>27</v>
      </c>
      <c r="H448" s="4">
        <v>149</v>
      </c>
      <c r="I448">
        <v>11.4</v>
      </c>
      <c r="J448">
        <v>27565</v>
      </c>
    </row>
    <row r="449" spans="1:10">
      <c r="A449">
        <v>407</v>
      </c>
      <c r="B449" t="s">
        <v>264</v>
      </c>
      <c r="C449">
        <v>2024</v>
      </c>
      <c r="D449" t="s">
        <v>32</v>
      </c>
      <c r="E449" t="s">
        <v>33</v>
      </c>
      <c r="F449" t="s">
        <v>14</v>
      </c>
      <c r="G449" t="s">
        <v>14</v>
      </c>
      <c r="H449" s="4">
        <v>179</v>
      </c>
      <c r="I449">
        <v>4.8</v>
      </c>
      <c r="J449">
        <v>26850</v>
      </c>
    </row>
    <row r="450" spans="1:10">
      <c r="A450">
        <v>424</v>
      </c>
      <c r="B450" t="s">
        <v>65</v>
      </c>
      <c r="C450">
        <v>2024</v>
      </c>
      <c r="D450" t="s">
        <v>35</v>
      </c>
      <c r="E450" t="s">
        <v>36</v>
      </c>
      <c r="F450" t="s">
        <v>49</v>
      </c>
      <c r="G450" t="s">
        <v>27</v>
      </c>
      <c r="H450" s="4">
        <v>264</v>
      </c>
      <c r="I450">
        <v>6.2</v>
      </c>
      <c r="J450">
        <v>26664</v>
      </c>
    </row>
    <row r="451" spans="1:10">
      <c r="A451">
        <v>207</v>
      </c>
      <c r="B451" t="s">
        <v>72</v>
      </c>
      <c r="C451">
        <v>2024</v>
      </c>
      <c r="D451" t="s">
        <v>61</v>
      </c>
      <c r="E451" t="s">
        <v>23</v>
      </c>
      <c r="F451" t="s">
        <v>49</v>
      </c>
      <c r="G451" t="s">
        <v>30</v>
      </c>
      <c r="H451" s="4">
        <v>223</v>
      </c>
      <c r="I451">
        <v>12.7</v>
      </c>
      <c r="J451">
        <v>26537</v>
      </c>
    </row>
    <row r="452" spans="1:10">
      <c r="A452">
        <v>42</v>
      </c>
      <c r="B452" t="s">
        <v>107</v>
      </c>
      <c r="C452">
        <v>2024</v>
      </c>
      <c r="D452" t="s">
        <v>25</v>
      </c>
      <c r="E452" t="s">
        <v>33</v>
      </c>
      <c r="F452" t="s">
        <v>13</v>
      </c>
      <c r="G452" t="s">
        <v>30</v>
      </c>
      <c r="H452" s="4">
        <v>189</v>
      </c>
      <c r="I452">
        <v>10.4</v>
      </c>
      <c r="J452">
        <v>26460</v>
      </c>
    </row>
    <row r="453" spans="1:10">
      <c r="A453">
        <v>293</v>
      </c>
      <c r="B453" t="s">
        <v>148</v>
      </c>
      <c r="C453">
        <v>2024</v>
      </c>
      <c r="D453" t="s">
        <v>95</v>
      </c>
      <c r="E453" t="s">
        <v>20</v>
      </c>
      <c r="F453" t="s">
        <v>42</v>
      </c>
      <c r="G453" t="s">
        <v>15</v>
      </c>
      <c r="H453" s="4">
        <v>108</v>
      </c>
      <c r="I453">
        <v>3.9</v>
      </c>
      <c r="J453">
        <v>26352</v>
      </c>
    </row>
    <row r="454" spans="1:10">
      <c r="A454">
        <v>251</v>
      </c>
      <c r="B454" t="s">
        <v>295</v>
      </c>
      <c r="C454">
        <v>2024</v>
      </c>
      <c r="D454" t="s">
        <v>32</v>
      </c>
      <c r="E454" t="s">
        <v>23</v>
      </c>
      <c r="F454" t="s">
        <v>49</v>
      </c>
      <c r="G454" t="s">
        <v>27</v>
      </c>
      <c r="H454" s="4">
        <v>128</v>
      </c>
      <c r="I454">
        <v>6.2</v>
      </c>
      <c r="J454">
        <v>25600</v>
      </c>
    </row>
    <row r="455" spans="1:10">
      <c r="A455">
        <v>486</v>
      </c>
      <c r="B455" t="s">
        <v>296</v>
      </c>
      <c r="C455">
        <v>2024</v>
      </c>
      <c r="D455" t="s">
        <v>44</v>
      </c>
      <c r="E455" t="s">
        <v>12</v>
      </c>
      <c r="F455" t="s">
        <v>49</v>
      </c>
      <c r="G455" t="s">
        <v>14</v>
      </c>
      <c r="H455" s="4">
        <v>291</v>
      </c>
      <c r="I455">
        <v>11.5</v>
      </c>
      <c r="J455">
        <v>25317</v>
      </c>
    </row>
    <row r="456" spans="1:10">
      <c r="A456">
        <v>166</v>
      </c>
      <c r="B456" t="s">
        <v>89</v>
      </c>
      <c r="C456">
        <v>2024</v>
      </c>
      <c r="D456" t="s">
        <v>61</v>
      </c>
      <c r="E456" t="s">
        <v>41</v>
      </c>
      <c r="F456" t="s">
        <v>21</v>
      </c>
      <c r="G456" t="s">
        <v>26</v>
      </c>
      <c r="H456" s="4">
        <v>130</v>
      </c>
      <c r="I456">
        <v>6.4</v>
      </c>
      <c r="J456">
        <v>24960</v>
      </c>
    </row>
    <row r="457" spans="1:10">
      <c r="A457">
        <v>90</v>
      </c>
      <c r="B457" t="s">
        <v>297</v>
      </c>
      <c r="C457">
        <v>2024</v>
      </c>
      <c r="D457" t="s">
        <v>40</v>
      </c>
      <c r="E457" t="s">
        <v>48</v>
      </c>
      <c r="F457" t="s">
        <v>45</v>
      </c>
      <c r="G457" t="s">
        <v>26</v>
      </c>
      <c r="H457" s="4">
        <v>152</v>
      </c>
      <c r="I457">
        <v>5.9</v>
      </c>
      <c r="J457">
        <v>24776</v>
      </c>
    </row>
    <row r="458" spans="1:10">
      <c r="A458">
        <v>218</v>
      </c>
      <c r="B458" t="s">
        <v>298</v>
      </c>
      <c r="C458">
        <v>2024</v>
      </c>
      <c r="D458" t="s">
        <v>11</v>
      </c>
      <c r="E458" t="s">
        <v>48</v>
      </c>
      <c r="F458" t="s">
        <v>45</v>
      </c>
      <c r="G458" t="s">
        <v>30</v>
      </c>
      <c r="H458" s="4">
        <v>230</v>
      </c>
      <c r="I458">
        <v>7.8</v>
      </c>
      <c r="J458">
        <v>24610</v>
      </c>
    </row>
    <row r="459" spans="1:10">
      <c r="A459">
        <v>43</v>
      </c>
      <c r="B459" t="s">
        <v>234</v>
      </c>
      <c r="C459">
        <v>2024</v>
      </c>
      <c r="D459" t="s">
        <v>44</v>
      </c>
      <c r="E459" t="s">
        <v>12</v>
      </c>
      <c r="F459" t="s">
        <v>14</v>
      </c>
      <c r="G459" t="s">
        <v>15</v>
      </c>
      <c r="H459" s="4">
        <v>131</v>
      </c>
      <c r="I459">
        <v>9.8000000000000007</v>
      </c>
      <c r="J459">
        <v>24497</v>
      </c>
    </row>
    <row r="460" spans="1:10">
      <c r="A460">
        <v>11</v>
      </c>
      <c r="B460" t="s">
        <v>70</v>
      </c>
      <c r="C460">
        <v>2024</v>
      </c>
      <c r="D460" t="s">
        <v>55</v>
      </c>
      <c r="E460" t="s">
        <v>48</v>
      </c>
      <c r="F460" t="s">
        <v>51</v>
      </c>
      <c r="G460" t="s">
        <v>14</v>
      </c>
      <c r="H460" s="4">
        <v>196</v>
      </c>
      <c r="I460">
        <v>9.6999999999999993</v>
      </c>
      <c r="J460">
        <v>24108</v>
      </c>
    </row>
    <row r="461" spans="1:10">
      <c r="A461">
        <v>205</v>
      </c>
      <c r="B461" t="s">
        <v>287</v>
      </c>
      <c r="C461">
        <v>2024</v>
      </c>
      <c r="D461" t="s">
        <v>61</v>
      </c>
      <c r="E461" t="s">
        <v>48</v>
      </c>
      <c r="F461" t="s">
        <v>45</v>
      </c>
      <c r="G461" t="s">
        <v>14</v>
      </c>
      <c r="H461" s="4">
        <v>112</v>
      </c>
      <c r="I461">
        <v>4</v>
      </c>
      <c r="J461">
        <v>24080</v>
      </c>
    </row>
    <row r="462" spans="1:10">
      <c r="A462">
        <v>493</v>
      </c>
      <c r="B462" t="s">
        <v>299</v>
      </c>
      <c r="C462">
        <v>2024</v>
      </c>
      <c r="D462" t="s">
        <v>44</v>
      </c>
      <c r="E462" t="s">
        <v>41</v>
      </c>
      <c r="F462" t="s">
        <v>51</v>
      </c>
      <c r="G462" t="s">
        <v>15</v>
      </c>
      <c r="H462" s="4">
        <v>209</v>
      </c>
      <c r="I462">
        <v>9.3000000000000007</v>
      </c>
      <c r="J462">
        <v>22990</v>
      </c>
    </row>
    <row r="463" spans="1:10">
      <c r="A463">
        <v>474</v>
      </c>
      <c r="B463" t="s">
        <v>245</v>
      </c>
      <c r="C463">
        <v>2024</v>
      </c>
      <c r="D463" t="s">
        <v>44</v>
      </c>
      <c r="E463" t="s">
        <v>62</v>
      </c>
      <c r="F463" t="s">
        <v>45</v>
      </c>
      <c r="G463" t="s">
        <v>22</v>
      </c>
      <c r="H463" s="4">
        <v>161</v>
      </c>
      <c r="I463">
        <v>11.6</v>
      </c>
      <c r="J463">
        <v>22701</v>
      </c>
    </row>
    <row r="464" spans="1:10">
      <c r="A464">
        <v>220</v>
      </c>
      <c r="B464" t="s">
        <v>196</v>
      </c>
      <c r="C464">
        <v>2024</v>
      </c>
      <c r="D464" t="s">
        <v>32</v>
      </c>
      <c r="E464" t="s">
        <v>48</v>
      </c>
      <c r="F464" t="s">
        <v>49</v>
      </c>
      <c r="G464" t="s">
        <v>26</v>
      </c>
      <c r="H464" s="4">
        <v>206</v>
      </c>
      <c r="I464">
        <v>8.6</v>
      </c>
      <c r="J464">
        <v>22454</v>
      </c>
    </row>
    <row r="465" spans="1:10">
      <c r="A465">
        <v>9</v>
      </c>
      <c r="B465" t="s">
        <v>197</v>
      </c>
      <c r="C465">
        <v>2024</v>
      </c>
      <c r="D465" t="s">
        <v>44</v>
      </c>
      <c r="E465" t="s">
        <v>33</v>
      </c>
      <c r="F465" t="s">
        <v>14</v>
      </c>
      <c r="G465" t="s">
        <v>14</v>
      </c>
      <c r="H465" s="4">
        <v>213</v>
      </c>
      <c r="I465">
        <v>12.4</v>
      </c>
      <c r="J465">
        <v>22365</v>
      </c>
    </row>
    <row r="466" spans="1:10">
      <c r="A466">
        <v>358</v>
      </c>
      <c r="B466" t="s">
        <v>157</v>
      </c>
      <c r="C466">
        <v>2024</v>
      </c>
      <c r="D466" t="s">
        <v>25</v>
      </c>
      <c r="E466" t="s">
        <v>41</v>
      </c>
      <c r="F466" t="s">
        <v>51</v>
      </c>
      <c r="G466" t="s">
        <v>15</v>
      </c>
      <c r="H466" s="4">
        <v>115</v>
      </c>
      <c r="I466">
        <v>11.9</v>
      </c>
      <c r="J466">
        <v>21505</v>
      </c>
    </row>
    <row r="467" spans="1:10">
      <c r="A467">
        <v>85</v>
      </c>
      <c r="B467" t="s">
        <v>54</v>
      </c>
      <c r="C467">
        <v>2024</v>
      </c>
      <c r="D467" t="s">
        <v>55</v>
      </c>
      <c r="E467" t="s">
        <v>33</v>
      </c>
      <c r="F467" t="s">
        <v>45</v>
      </c>
      <c r="G467" t="s">
        <v>22</v>
      </c>
      <c r="H467" s="4">
        <v>90</v>
      </c>
      <c r="I467">
        <v>12.4</v>
      </c>
      <c r="J467">
        <v>20430</v>
      </c>
    </row>
    <row r="468" spans="1:10">
      <c r="A468">
        <v>389</v>
      </c>
      <c r="B468" t="s">
        <v>78</v>
      </c>
      <c r="C468">
        <v>2024</v>
      </c>
      <c r="D468" t="s">
        <v>61</v>
      </c>
      <c r="E468" t="s">
        <v>33</v>
      </c>
      <c r="F468" t="s">
        <v>21</v>
      </c>
      <c r="G468" t="s">
        <v>14</v>
      </c>
      <c r="H468" s="4">
        <v>114</v>
      </c>
      <c r="I468">
        <v>4</v>
      </c>
      <c r="J468">
        <v>20178</v>
      </c>
    </row>
    <row r="469" spans="1:10">
      <c r="A469">
        <v>89</v>
      </c>
      <c r="B469" t="s">
        <v>226</v>
      </c>
      <c r="C469">
        <v>2024</v>
      </c>
      <c r="D469" t="s">
        <v>38</v>
      </c>
      <c r="E469" t="s">
        <v>23</v>
      </c>
      <c r="F469" t="s">
        <v>49</v>
      </c>
      <c r="G469" t="s">
        <v>14</v>
      </c>
      <c r="H469" s="4">
        <v>105</v>
      </c>
      <c r="I469">
        <v>3.9</v>
      </c>
      <c r="J469">
        <v>19845</v>
      </c>
    </row>
    <row r="470" spans="1:10">
      <c r="A470">
        <v>171</v>
      </c>
      <c r="B470" t="s">
        <v>213</v>
      </c>
      <c r="C470">
        <v>2024</v>
      </c>
      <c r="D470" t="s">
        <v>11</v>
      </c>
      <c r="E470" t="s">
        <v>20</v>
      </c>
      <c r="F470" t="s">
        <v>21</v>
      </c>
      <c r="G470" t="s">
        <v>22</v>
      </c>
      <c r="H470" s="4">
        <v>234</v>
      </c>
      <c r="I470">
        <v>11.7</v>
      </c>
      <c r="J470">
        <v>19422</v>
      </c>
    </row>
    <row r="471" spans="1:10">
      <c r="A471">
        <v>356</v>
      </c>
      <c r="B471" t="s">
        <v>300</v>
      </c>
      <c r="C471">
        <v>2024</v>
      </c>
      <c r="D471" t="s">
        <v>95</v>
      </c>
      <c r="E471" t="s">
        <v>33</v>
      </c>
      <c r="F471" t="s">
        <v>21</v>
      </c>
      <c r="G471" t="s">
        <v>14</v>
      </c>
      <c r="H471" s="4">
        <v>96</v>
      </c>
      <c r="I471">
        <v>13.8</v>
      </c>
      <c r="J471">
        <v>19008</v>
      </c>
    </row>
    <row r="472" spans="1:10">
      <c r="A472">
        <v>197</v>
      </c>
      <c r="B472" t="s">
        <v>84</v>
      </c>
      <c r="C472">
        <v>2024</v>
      </c>
      <c r="D472" t="s">
        <v>85</v>
      </c>
      <c r="E472" t="s">
        <v>36</v>
      </c>
      <c r="F472" t="s">
        <v>45</v>
      </c>
      <c r="G472" t="s">
        <v>22</v>
      </c>
      <c r="H472" s="4">
        <v>187</v>
      </c>
      <c r="I472">
        <v>4</v>
      </c>
      <c r="J472">
        <v>18887</v>
      </c>
    </row>
    <row r="473" spans="1:10">
      <c r="A473">
        <v>93</v>
      </c>
      <c r="B473" t="s">
        <v>107</v>
      </c>
      <c r="C473">
        <v>2024</v>
      </c>
      <c r="D473" t="s">
        <v>25</v>
      </c>
      <c r="E473" t="s">
        <v>48</v>
      </c>
      <c r="F473" t="s">
        <v>49</v>
      </c>
      <c r="G473" t="s">
        <v>22</v>
      </c>
      <c r="H473" s="4">
        <v>132</v>
      </c>
      <c r="I473">
        <v>11.3</v>
      </c>
      <c r="J473">
        <v>18876</v>
      </c>
    </row>
    <row r="474" spans="1:10">
      <c r="A474">
        <v>393</v>
      </c>
      <c r="B474" t="s">
        <v>74</v>
      </c>
      <c r="C474">
        <v>2024</v>
      </c>
      <c r="D474" t="s">
        <v>55</v>
      </c>
      <c r="E474" t="s">
        <v>41</v>
      </c>
      <c r="F474" t="s">
        <v>51</v>
      </c>
      <c r="G474" t="s">
        <v>30</v>
      </c>
      <c r="H474" s="4">
        <v>117</v>
      </c>
      <c r="I474">
        <v>5</v>
      </c>
      <c r="J474">
        <v>18720</v>
      </c>
    </row>
    <row r="475" spans="1:10">
      <c r="A475">
        <v>29</v>
      </c>
      <c r="B475" t="s">
        <v>179</v>
      </c>
      <c r="C475">
        <v>2024</v>
      </c>
      <c r="D475" t="s">
        <v>95</v>
      </c>
      <c r="E475" t="s">
        <v>48</v>
      </c>
      <c r="F475" t="s">
        <v>13</v>
      </c>
      <c r="G475" t="s">
        <v>22</v>
      </c>
      <c r="H475" s="4">
        <v>195</v>
      </c>
      <c r="I475">
        <v>10.8</v>
      </c>
      <c r="J475">
        <v>18525</v>
      </c>
    </row>
    <row r="476" spans="1:10">
      <c r="A476">
        <v>118</v>
      </c>
      <c r="B476" t="s">
        <v>24</v>
      </c>
      <c r="C476">
        <v>2024</v>
      </c>
      <c r="D476" t="s">
        <v>25</v>
      </c>
      <c r="E476" t="s">
        <v>41</v>
      </c>
      <c r="F476" t="s">
        <v>51</v>
      </c>
      <c r="G476" t="s">
        <v>15</v>
      </c>
      <c r="H476" s="4">
        <v>183</v>
      </c>
      <c r="I476">
        <v>7.4</v>
      </c>
      <c r="J476">
        <v>17934</v>
      </c>
    </row>
    <row r="477" spans="1:10">
      <c r="A477">
        <v>302</v>
      </c>
      <c r="B477" t="s">
        <v>235</v>
      </c>
      <c r="C477">
        <v>2024</v>
      </c>
      <c r="D477" t="s">
        <v>35</v>
      </c>
      <c r="E477" t="s">
        <v>62</v>
      </c>
      <c r="F477" t="s">
        <v>51</v>
      </c>
      <c r="G477" t="s">
        <v>15</v>
      </c>
      <c r="H477" s="4">
        <v>97</v>
      </c>
      <c r="I477">
        <v>4</v>
      </c>
      <c r="J477">
        <v>17460</v>
      </c>
    </row>
    <row r="478" spans="1:10">
      <c r="A478">
        <v>330</v>
      </c>
      <c r="B478" t="s">
        <v>252</v>
      </c>
      <c r="C478">
        <v>2024</v>
      </c>
      <c r="D478" t="s">
        <v>61</v>
      </c>
      <c r="E478" t="s">
        <v>48</v>
      </c>
      <c r="F478" t="s">
        <v>21</v>
      </c>
      <c r="G478" t="s">
        <v>27</v>
      </c>
      <c r="H478" s="4">
        <v>171</v>
      </c>
      <c r="I478">
        <v>13</v>
      </c>
      <c r="J478">
        <v>17442</v>
      </c>
    </row>
    <row r="479" spans="1:10">
      <c r="A479">
        <v>370</v>
      </c>
      <c r="B479" t="s">
        <v>128</v>
      </c>
      <c r="C479">
        <v>2024</v>
      </c>
      <c r="D479" t="s">
        <v>55</v>
      </c>
      <c r="E479" t="s">
        <v>48</v>
      </c>
      <c r="F479" t="s">
        <v>45</v>
      </c>
      <c r="G479" t="s">
        <v>15</v>
      </c>
      <c r="H479" s="4">
        <v>130</v>
      </c>
      <c r="I479">
        <v>12.6</v>
      </c>
      <c r="J479">
        <v>16640</v>
      </c>
    </row>
    <row r="480" spans="1:10">
      <c r="A480">
        <v>498</v>
      </c>
      <c r="B480" t="s">
        <v>301</v>
      </c>
      <c r="C480">
        <v>2024</v>
      </c>
      <c r="D480" t="s">
        <v>11</v>
      </c>
      <c r="E480" t="s">
        <v>41</v>
      </c>
      <c r="F480" t="s">
        <v>14</v>
      </c>
      <c r="G480" t="s">
        <v>22</v>
      </c>
      <c r="H480" s="4">
        <v>98</v>
      </c>
      <c r="I480">
        <v>5.6</v>
      </c>
      <c r="J480">
        <v>16464</v>
      </c>
    </row>
    <row r="481" spans="1:10">
      <c r="A481">
        <v>40</v>
      </c>
      <c r="B481" t="s">
        <v>178</v>
      </c>
      <c r="C481">
        <v>2024</v>
      </c>
      <c r="D481" t="s">
        <v>38</v>
      </c>
      <c r="E481" t="s">
        <v>41</v>
      </c>
      <c r="F481" t="s">
        <v>21</v>
      </c>
      <c r="G481" t="s">
        <v>14</v>
      </c>
      <c r="H481" s="4">
        <v>174</v>
      </c>
      <c r="I481">
        <v>11.2</v>
      </c>
      <c r="J481">
        <v>16356</v>
      </c>
    </row>
    <row r="482" spans="1:10">
      <c r="A482">
        <v>382</v>
      </c>
      <c r="B482" t="s">
        <v>276</v>
      </c>
      <c r="C482">
        <v>2024</v>
      </c>
      <c r="D482" t="s">
        <v>40</v>
      </c>
      <c r="E482" t="s">
        <v>48</v>
      </c>
      <c r="F482" t="s">
        <v>21</v>
      </c>
      <c r="G482" t="s">
        <v>14</v>
      </c>
      <c r="H482" s="4">
        <v>189</v>
      </c>
      <c r="I482">
        <v>10.8</v>
      </c>
      <c r="J482">
        <v>15498</v>
      </c>
    </row>
    <row r="483" spans="1:10">
      <c r="A483">
        <v>182</v>
      </c>
      <c r="B483" t="s">
        <v>113</v>
      </c>
      <c r="C483">
        <v>2024</v>
      </c>
      <c r="D483" t="s">
        <v>61</v>
      </c>
      <c r="E483" t="s">
        <v>48</v>
      </c>
      <c r="F483" t="s">
        <v>51</v>
      </c>
      <c r="G483" t="s">
        <v>30</v>
      </c>
      <c r="H483" s="4">
        <v>93</v>
      </c>
      <c r="I483">
        <v>3.6</v>
      </c>
      <c r="J483">
        <v>15345</v>
      </c>
    </row>
    <row r="484" spans="1:10">
      <c r="A484">
        <v>23</v>
      </c>
      <c r="B484" t="s">
        <v>175</v>
      </c>
      <c r="C484">
        <v>2024</v>
      </c>
      <c r="D484" t="s">
        <v>35</v>
      </c>
      <c r="E484" t="s">
        <v>20</v>
      </c>
      <c r="F484" t="s">
        <v>51</v>
      </c>
      <c r="G484" t="s">
        <v>22</v>
      </c>
      <c r="H484" s="4">
        <v>89</v>
      </c>
      <c r="I484">
        <v>4.2</v>
      </c>
      <c r="J484">
        <v>15308</v>
      </c>
    </row>
    <row r="485" spans="1:10">
      <c r="A485">
        <v>314</v>
      </c>
      <c r="B485" t="s">
        <v>291</v>
      </c>
      <c r="C485">
        <v>2024</v>
      </c>
      <c r="D485" t="s">
        <v>55</v>
      </c>
      <c r="E485" t="s">
        <v>48</v>
      </c>
      <c r="F485" t="s">
        <v>42</v>
      </c>
      <c r="G485" t="s">
        <v>22</v>
      </c>
      <c r="H485" s="4">
        <v>104</v>
      </c>
      <c r="I485">
        <v>9.6</v>
      </c>
      <c r="J485">
        <v>15288</v>
      </c>
    </row>
    <row r="486" spans="1:10">
      <c r="A486">
        <v>494</v>
      </c>
      <c r="B486" t="s">
        <v>302</v>
      </c>
      <c r="C486">
        <v>2024</v>
      </c>
      <c r="D486" t="s">
        <v>35</v>
      </c>
      <c r="E486" t="s">
        <v>62</v>
      </c>
      <c r="F486" t="s">
        <v>49</v>
      </c>
      <c r="G486" t="s">
        <v>26</v>
      </c>
      <c r="H486" s="4">
        <v>144</v>
      </c>
      <c r="I486">
        <v>13.5</v>
      </c>
      <c r="J486">
        <v>13968</v>
      </c>
    </row>
    <row r="487" spans="1:10">
      <c r="A487">
        <v>131</v>
      </c>
      <c r="B487" t="s">
        <v>243</v>
      </c>
      <c r="C487">
        <v>2024</v>
      </c>
      <c r="D487" t="s">
        <v>38</v>
      </c>
      <c r="E487" t="s">
        <v>41</v>
      </c>
      <c r="F487" t="s">
        <v>49</v>
      </c>
      <c r="G487" t="s">
        <v>15</v>
      </c>
      <c r="H487" s="4">
        <v>92</v>
      </c>
      <c r="I487">
        <v>14</v>
      </c>
      <c r="J487">
        <v>13616</v>
      </c>
    </row>
    <row r="488" spans="1:10">
      <c r="A488">
        <v>340</v>
      </c>
      <c r="B488" t="s">
        <v>50</v>
      </c>
      <c r="C488">
        <v>2024</v>
      </c>
      <c r="D488" t="s">
        <v>38</v>
      </c>
      <c r="E488" t="s">
        <v>48</v>
      </c>
      <c r="F488" t="s">
        <v>13</v>
      </c>
      <c r="G488" t="s">
        <v>27</v>
      </c>
      <c r="H488" s="4">
        <v>73</v>
      </c>
      <c r="I488">
        <v>5.9</v>
      </c>
      <c r="J488">
        <v>12556</v>
      </c>
    </row>
    <row r="489" spans="1:10">
      <c r="A489">
        <v>316</v>
      </c>
      <c r="B489" t="s">
        <v>177</v>
      </c>
      <c r="C489">
        <v>2024</v>
      </c>
      <c r="D489" t="s">
        <v>44</v>
      </c>
      <c r="E489" t="s">
        <v>48</v>
      </c>
      <c r="F489" t="s">
        <v>13</v>
      </c>
      <c r="G489" t="s">
        <v>14</v>
      </c>
      <c r="H489" s="4">
        <v>114</v>
      </c>
      <c r="I489">
        <v>9.3000000000000007</v>
      </c>
      <c r="J489">
        <v>12312</v>
      </c>
    </row>
    <row r="490" spans="1:10">
      <c r="A490">
        <v>384</v>
      </c>
      <c r="B490" t="s">
        <v>303</v>
      </c>
      <c r="C490">
        <v>2024</v>
      </c>
      <c r="D490" t="s">
        <v>95</v>
      </c>
      <c r="E490" t="s">
        <v>41</v>
      </c>
      <c r="F490" t="s">
        <v>13</v>
      </c>
      <c r="G490" t="s">
        <v>30</v>
      </c>
      <c r="H490" s="4">
        <v>63</v>
      </c>
      <c r="I490">
        <v>8.9</v>
      </c>
      <c r="J490">
        <v>11655</v>
      </c>
    </row>
    <row r="491" spans="1:10">
      <c r="A491">
        <v>490</v>
      </c>
      <c r="B491" t="s">
        <v>300</v>
      </c>
      <c r="C491">
        <v>2024</v>
      </c>
      <c r="D491" t="s">
        <v>95</v>
      </c>
      <c r="E491" t="s">
        <v>48</v>
      </c>
      <c r="F491" t="s">
        <v>13</v>
      </c>
      <c r="G491" t="s">
        <v>14</v>
      </c>
      <c r="H491" s="4">
        <v>140</v>
      </c>
      <c r="I491">
        <v>12.4</v>
      </c>
      <c r="J491">
        <v>11620</v>
      </c>
    </row>
    <row r="492" spans="1:10">
      <c r="A492">
        <v>66</v>
      </c>
      <c r="B492" t="s">
        <v>304</v>
      </c>
      <c r="C492">
        <v>2024</v>
      </c>
      <c r="D492" t="s">
        <v>85</v>
      </c>
      <c r="E492" t="s">
        <v>48</v>
      </c>
      <c r="F492" t="s">
        <v>14</v>
      </c>
      <c r="G492" t="s">
        <v>14</v>
      </c>
      <c r="H492" s="4">
        <v>53</v>
      </c>
      <c r="I492">
        <v>8.6999999999999993</v>
      </c>
      <c r="J492">
        <v>11501</v>
      </c>
    </row>
    <row r="493" spans="1:10">
      <c r="A493">
        <v>186</v>
      </c>
      <c r="B493" t="s">
        <v>86</v>
      </c>
      <c r="C493">
        <v>2024</v>
      </c>
      <c r="D493" t="s">
        <v>32</v>
      </c>
      <c r="E493" t="s">
        <v>12</v>
      </c>
      <c r="F493" t="s">
        <v>13</v>
      </c>
      <c r="G493" t="s">
        <v>15</v>
      </c>
      <c r="H493" s="4">
        <v>80</v>
      </c>
      <c r="I493">
        <v>6.9</v>
      </c>
      <c r="J493">
        <v>11200</v>
      </c>
    </row>
    <row r="494" spans="1:10">
      <c r="A494">
        <v>36</v>
      </c>
      <c r="B494" t="s">
        <v>305</v>
      </c>
      <c r="C494">
        <v>2024</v>
      </c>
      <c r="D494" t="s">
        <v>38</v>
      </c>
      <c r="E494" t="s">
        <v>23</v>
      </c>
      <c r="F494" t="s">
        <v>45</v>
      </c>
      <c r="G494" t="s">
        <v>14</v>
      </c>
      <c r="H494" s="4">
        <v>80</v>
      </c>
      <c r="I494">
        <v>13.7</v>
      </c>
      <c r="J494">
        <v>11200</v>
      </c>
    </row>
    <row r="495" spans="1:10">
      <c r="A495">
        <v>460</v>
      </c>
      <c r="B495" t="s">
        <v>253</v>
      </c>
      <c r="C495">
        <v>2024</v>
      </c>
      <c r="D495" t="s">
        <v>85</v>
      </c>
      <c r="E495" t="s">
        <v>62</v>
      </c>
      <c r="F495" t="s">
        <v>45</v>
      </c>
      <c r="G495" t="s">
        <v>22</v>
      </c>
      <c r="H495" s="4">
        <v>83</v>
      </c>
      <c r="I495">
        <v>4.4000000000000004</v>
      </c>
      <c r="J495">
        <v>9960</v>
      </c>
    </row>
    <row r="496" spans="1:10">
      <c r="A496">
        <v>440</v>
      </c>
      <c r="B496" t="s">
        <v>155</v>
      </c>
      <c r="C496">
        <v>2024</v>
      </c>
      <c r="D496" t="s">
        <v>11</v>
      </c>
      <c r="E496" t="s">
        <v>33</v>
      </c>
      <c r="F496" t="s">
        <v>21</v>
      </c>
      <c r="G496" t="s">
        <v>30</v>
      </c>
      <c r="H496" s="4">
        <v>69</v>
      </c>
      <c r="I496">
        <v>8.3000000000000007</v>
      </c>
      <c r="J496">
        <v>8901</v>
      </c>
    </row>
    <row r="497" spans="1:10">
      <c r="A497">
        <v>145</v>
      </c>
      <c r="B497" t="s">
        <v>218</v>
      </c>
      <c r="C497">
        <v>2024</v>
      </c>
      <c r="D497" t="s">
        <v>44</v>
      </c>
      <c r="E497" t="s">
        <v>62</v>
      </c>
      <c r="F497" t="s">
        <v>49</v>
      </c>
      <c r="G497" t="s">
        <v>15</v>
      </c>
      <c r="H497" s="4">
        <v>55</v>
      </c>
      <c r="I497">
        <v>6.1</v>
      </c>
      <c r="J497">
        <v>8580</v>
      </c>
    </row>
    <row r="498" spans="1:10">
      <c r="A498">
        <v>92</v>
      </c>
      <c r="B498" t="s">
        <v>129</v>
      </c>
      <c r="C498">
        <v>2024</v>
      </c>
      <c r="D498" t="s">
        <v>85</v>
      </c>
      <c r="E498" t="s">
        <v>12</v>
      </c>
      <c r="F498" t="s">
        <v>51</v>
      </c>
      <c r="G498" t="s">
        <v>27</v>
      </c>
      <c r="H498" s="4">
        <v>89</v>
      </c>
      <c r="I498">
        <v>11.2</v>
      </c>
      <c r="J498">
        <v>8277</v>
      </c>
    </row>
    <row r="499" spans="1:10">
      <c r="A499">
        <v>390</v>
      </c>
      <c r="B499" t="s">
        <v>194</v>
      </c>
      <c r="C499">
        <v>2024</v>
      </c>
      <c r="D499" t="s">
        <v>95</v>
      </c>
      <c r="E499" t="s">
        <v>62</v>
      </c>
      <c r="F499" t="s">
        <v>49</v>
      </c>
      <c r="G499" t="s">
        <v>14</v>
      </c>
      <c r="H499" s="4">
        <v>69</v>
      </c>
      <c r="I499">
        <v>10.7</v>
      </c>
      <c r="J499">
        <v>6969</v>
      </c>
    </row>
    <row r="500" spans="1:10">
      <c r="A500">
        <v>76</v>
      </c>
      <c r="B500" t="s">
        <v>306</v>
      </c>
      <c r="C500">
        <v>2024</v>
      </c>
      <c r="D500" t="s">
        <v>32</v>
      </c>
      <c r="E500" t="s">
        <v>33</v>
      </c>
      <c r="F500" t="s">
        <v>51</v>
      </c>
      <c r="G500" t="s">
        <v>15</v>
      </c>
      <c r="H500" s="4">
        <v>61</v>
      </c>
      <c r="I500">
        <v>12.8</v>
      </c>
      <c r="J500">
        <v>6527</v>
      </c>
    </row>
    <row r="501" spans="1:10">
      <c r="A501">
        <v>456</v>
      </c>
      <c r="B501" t="s">
        <v>198</v>
      </c>
      <c r="C501">
        <v>2024</v>
      </c>
      <c r="D501" t="s">
        <v>19</v>
      </c>
      <c r="E501" t="s">
        <v>62</v>
      </c>
      <c r="F501" t="s">
        <v>42</v>
      </c>
      <c r="G501" t="s">
        <v>27</v>
      </c>
      <c r="H501" s="4">
        <v>55</v>
      </c>
      <c r="I501">
        <v>12.6</v>
      </c>
      <c r="J501">
        <v>5665</v>
      </c>
    </row>
  </sheetData>
  <conditionalFormatting sqref="H1:H1048576">
    <cfRule type="top10" dxfId="4" priority="7" rank="10"/>
  </conditionalFormatting>
  <conditionalFormatting sqref="H1:H1048576">
    <cfRule type="top10" dxfId="3" priority="6" bottom="1" rank="10"/>
  </conditionalFormatting>
  <conditionalFormatting sqref="D2:D501">
    <cfRule type="top10" dxfId="2" priority="2" rank="10"/>
  </conditionalFormatting>
  <conditionalFormatting sqref="D2:D501">
    <cfRule type="expression" dxfId="1" priority="1">
      <formula>J3&gt;=LARGE($J$2:$J$501, 10)</formula>
    </cfRule>
  </conditionalFormatting>
  <pageMargins left="0.75" right="0.75" top="1" bottom="1" header="0.5" footer="0.5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H10" sqref="H10"/>
    </sheetView>
  </sheetViews>
  <sheetFormatPr defaultRowHeight="15"/>
  <cols>
    <col min="1" max="1" width="21" customWidth="1"/>
  </cols>
  <sheetData>
    <row r="1" spans="1:2">
      <c r="A1" t="s">
        <v>307</v>
      </c>
      <c r="B1" t="s">
        <v>308</v>
      </c>
    </row>
    <row r="2" spans="1:2">
      <c r="A2" t="s">
        <v>309</v>
      </c>
      <c r="B2" t="s">
        <v>310</v>
      </c>
    </row>
    <row r="3" spans="1:2">
      <c r="A3" t="s">
        <v>309</v>
      </c>
      <c r="B3" t="s">
        <v>311</v>
      </c>
    </row>
    <row r="4" spans="1:2">
      <c r="A4" t="s">
        <v>312</v>
      </c>
      <c r="B4" t="s">
        <v>313</v>
      </c>
    </row>
    <row r="5" spans="1:2">
      <c r="A5" t="s">
        <v>312</v>
      </c>
      <c r="B5" t="s">
        <v>314</v>
      </c>
    </row>
    <row r="6" spans="1:2">
      <c r="A6" t="s">
        <v>315</v>
      </c>
      <c r="B6" t="s">
        <v>316</v>
      </c>
    </row>
    <row r="7" spans="1:2">
      <c r="A7" t="s">
        <v>317</v>
      </c>
      <c r="B7" t="s">
        <v>318</v>
      </c>
    </row>
    <row r="8" spans="1:2">
      <c r="A8" t="s">
        <v>317</v>
      </c>
      <c r="B8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2026-05-19T10:55:40Z</dcterms:created>
  <dcterms:modified xsi:type="dcterms:W3CDTF">2026-05-20T14:46:06Z</dcterms:modified>
  <cp:category/>
  <cp:contentStatus/>
</cp:coreProperties>
</file>