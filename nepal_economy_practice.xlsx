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FF\EXCELCNV\b4781ae2-1881-4527-84e7-fd23260a9b1c\"/>
    </mc:Choice>
  </mc:AlternateContent>
  <xr:revisionPtr revIDLastSave="0" documentId="8_{D3525812-C8E8-4DE2-BE6C-9D28C03A100A}" xr6:coauthVersionLast="47" xr6:coauthVersionMax="47" xr10:uidLastSave="{00000000-0000-0000-0000-000000000000}"/>
  <bookViews>
    <workbookView xWindow="-60" yWindow="-60" windowWidth="15480" windowHeight="11640" activeTab="2" xr2:uid="{A52FFEAB-B9ED-46FC-8EF6-1209E25097D9}"/>
  </bookViews>
  <sheets>
    <sheet name="in" sheetId="1" r:id="rId1"/>
    <sheet name="Sheet1" sheetId="2" r:id="rId2"/>
    <sheet name="Practice_Dashboard" sheetId="3" r:id="rId3"/>
  </sheets>
  <definedNames>
    <definedName name="Slicer_Year_AD">#N/A</definedName>
  </definedNames>
  <calcPr calcId="191028"/>
  <pivotCaches>
    <pivotCache cacheId="472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X2" i="1"/>
  <c r="O2" i="1" a="1"/>
  <c r="O2" i="1"/>
  <c r="U2" i="1"/>
  <c r="S2" i="1"/>
  <c r="Q2" i="1"/>
  <c r="N2" i="1" a="1"/>
  <c r="N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<sst xmlns="http://schemas.openxmlformats.org/spreadsheetml/2006/main" count="55" uniqueCount="37">
  <si>
    <t>Row_ID</t>
  </si>
  <si>
    <t>Fiscal_Year_BS</t>
  </si>
  <si>
    <t>Year_AD</t>
  </si>
  <si>
    <t>Quarter</t>
  </si>
  <si>
    <t>GDP_Real_Growth_Pct</t>
  </si>
  <si>
    <t>Agri_Sector_Growth_Pct</t>
  </si>
  <si>
    <t>Non_Agri_Sector_Growth_Pct</t>
  </si>
  <si>
    <t>CPI_Inflation_Avg_Pct</t>
  </si>
  <si>
    <t>Remittance_Inflow_NPR_Billions</t>
  </si>
  <si>
    <t>Total_Imports_NPR_Billions</t>
  </si>
  <si>
    <t>Total_Exports_NPR_Billions</t>
  </si>
  <si>
    <t>FX_Reserves_USD_Billions</t>
  </si>
  <si>
    <t>Import_Cover_Months</t>
  </si>
  <si>
    <t>Total_Trade_NPR_Billions</t>
  </si>
  <si>
    <t>Total_export_to_import_pct</t>
  </si>
  <si>
    <t>KPI for year 2026 GDP</t>
  </si>
  <si>
    <t>Inflation 2026</t>
  </si>
  <si>
    <t>Remmitance Inflow 2026</t>
  </si>
  <si>
    <t>FX_Reserves_USD_Billions_2026</t>
  </si>
  <si>
    <t>2077/78</t>
  </si>
  <si>
    <t>Full_Year</t>
  </si>
  <si>
    <t>2078/79</t>
  </si>
  <si>
    <t>2079/80</t>
  </si>
  <si>
    <t>2080/81</t>
  </si>
  <si>
    <t>2081/82</t>
  </si>
  <si>
    <t>2082/83</t>
  </si>
  <si>
    <t>2083/84</t>
  </si>
  <si>
    <t>2084/85</t>
  </si>
  <si>
    <t>2085/86</t>
  </si>
  <si>
    <t>2086/87</t>
  </si>
  <si>
    <t>Sum of GDP_Real_Growth_Pct</t>
  </si>
  <si>
    <t>Sum of CPI_Inflation_Avg_Pct</t>
  </si>
  <si>
    <t>Grand Total</t>
  </si>
  <si>
    <t>Sum of Remittance_Inflow_NPR_Billions</t>
  </si>
  <si>
    <t>Sum of Total_Trade_NPR_Billions</t>
  </si>
  <si>
    <t>Sum of Agri_Sector_Growth_Pct</t>
  </si>
  <si>
    <t>Sum of Non_Agri_Sector_Growth_Pct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</si>
</sst>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&quot;%&quot;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0" borderId="0" xfId="0" applyNumberFormat="1"/>
    <xf numFmtId="171" fontId="0" fillId="0" borderId="0" xfId="0" applyNumberFormat="1"/>
    <xf numFmtId="0" fontId="0" fillId="0" borderId="0" xfId="0" pivotButton="1"/>
    <xf numFmtId="0" fontId="0" fillId="33" borderId="0" xfId="0" applyFill="1" applyBorder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[nepal_economy_raw_data.xlsx]Sheet1!PivotTable1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GDP vs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Sum of GDP_Real_Growth_Pct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Sheet1!$A$3:$A$5</c:f>
              <c:strCache>
                <c:ptCount val="2"/>
                <c:pt idx="0">
                  <c:v>2023</c:v>
                </c:pt>
                <c:pt idx="1">
                  <c:v>2025</c:v>
                </c:pt>
              </c:strCache>
            </c:strRef>
          </c:cat>
          <c:val>
            <c:numRef>
              <c:f>Sheet1!$B$3:$B$5</c:f>
              <c:numCache>
                <c:formatCode>0.00"%"</c:formatCode>
                <c:ptCount val="2"/>
                <c:pt idx="0">
                  <c:v>2.31</c:v>
                </c:pt>
                <c:pt idx="1">
                  <c:v>4.0999999999999996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C-4A18-A1D5-D7D33E7B9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6244999"/>
        <c:axId val="1735129607"/>
      </c:barChart>
      <c:lineChart>
        <c:grouping val="standard"/>
        <c:varyColors val="0"/>
        <c:ser>
          <c:idx val="1"/>
          <c:order val="1"/>
          <c:tx>
            <c:strRef>
              <c:f>Sheet1!$C$2</c:f>
              <c:strCache>
                <c:ptCount val="1"/>
                <c:pt idx="0">
                  <c:v>Sum of CPI_Inflation_Avg_Pct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Sheet1!$A$3:$A$5</c:f>
              <c:strCache>
                <c:ptCount val="2"/>
                <c:pt idx="0">
                  <c:v>2023</c:v>
                </c:pt>
                <c:pt idx="1">
                  <c:v>2025</c:v>
                </c:pt>
              </c:strCache>
            </c:strRef>
          </c:cat>
          <c:val>
            <c:numRef>
              <c:f>Sheet1!$C$3:$C$5</c:f>
              <c:numCache>
                <c:formatCode>0.00"%"</c:formatCode>
                <c:ptCount val="2"/>
                <c:pt idx="0">
                  <c:v>7.74</c:v>
                </c:pt>
                <c:pt idx="1">
                  <c:v>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6C-4A18-A1D5-D7D33E7B9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6244999"/>
        <c:axId val="1735129607"/>
      </c:lineChart>
      <c:catAx>
        <c:axId val="1676244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129607"/>
        <c:crosses val="autoZero"/>
        <c:auto val="1"/>
        <c:lblAlgn val="ctr"/>
        <c:lblOffset val="100"/>
        <c:noMultiLvlLbl val="0"/>
      </c:catAx>
      <c:valAx>
        <c:axId val="1735129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244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[nepal_economy_raw_data.xlsx]Sheet1!PivotTable2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Remmitance and Total Trade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Sheet1!$B$15</c:f>
              <c:strCache>
                <c:ptCount val="1"/>
                <c:pt idx="0">
                  <c:v>Sum of Remittance_Inflow_NPR_Billions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Sheet1!$A$16:$A$18</c:f>
              <c:strCache>
                <c:ptCount val="2"/>
                <c:pt idx="0">
                  <c:v>2023</c:v>
                </c:pt>
                <c:pt idx="1">
                  <c:v>2025</c:v>
                </c:pt>
              </c:strCache>
            </c:strRef>
          </c:cat>
          <c:val>
            <c:numRef>
              <c:f>Sheet1!$B$16:$B$18</c:f>
              <c:numCache>
                <c:formatCode>General</c:formatCode>
                <c:ptCount val="2"/>
                <c:pt idx="0">
                  <c:v>1220.5</c:v>
                </c:pt>
                <c:pt idx="1">
                  <c:v>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D0-4763-BADE-D342ABA2F31A}"/>
            </c:ext>
          </c:extLst>
        </c:ser>
        <c:ser>
          <c:idx val="1"/>
          <c:order val="1"/>
          <c:tx>
            <c:strRef>
              <c:f>Sheet1!$C$15</c:f>
              <c:strCache>
                <c:ptCount val="1"/>
                <c:pt idx="0">
                  <c:v>Sum of Total_Trade_NPR_Billions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Sheet1!$A$16:$A$18</c:f>
              <c:strCache>
                <c:ptCount val="2"/>
                <c:pt idx="0">
                  <c:v>2023</c:v>
                </c:pt>
                <c:pt idx="1">
                  <c:v>2025</c:v>
                </c:pt>
              </c:strCache>
            </c:strRef>
          </c:cat>
          <c:val>
            <c:numRef>
              <c:f>Sheet1!$C$16:$C$18</c:f>
              <c:numCache>
                <c:formatCode>General</c:formatCode>
                <c:ptCount val="2"/>
                <c:pt idx="0">
                  <c:v>1454.6000000000001</c:v>
                </c:pt>
                <c:pt idx="1">
                  <c:v>1485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D0-4763-BADE-D342ABA2F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4021127"/>
        <c:axId val="1854801415"/>
      </c:lineChart>
      <c:catAx>
        <c:axId val="1854021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801415"/>
        <c:crosses val="autoZero"/>
        <c:auto val="1"/>
        <c:lblAlgn val="ctr"/>
        <c:lblOffset val="100"/>
        <c:noMultiLvlLbl val="0"/>
      </c:catAx>
      <c:valAx>
        <c:axId val="1854801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021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[nepal_economy_raw_data.xlsx]Sheet1!PivotTable3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Agri vs Non-Agriculture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Sheet1!$B$28</c:f>
              <c:strCache>
                <c:ptCount val="1"/>
                <c:pt idx="0">
                  <c:v>Sum of Agri_Sector_Growth_Pct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Sheet1!$A$29:$A$31</c:f>
              <c:strCache>
                <c:ptCount val="2"/>
                <c:pt idx="0">
                  <c:v>2023</c:v>
                </c:pt>
                <c:pt idx="1">
                  <c:v>2025</c:v>
                </c:pt>
              </c:strCache>
            </c:strRef>
          </c:cat>
          <c:val>
            <c:numRef>
              <c:f>Sheet1!$B$29:$B$31</c:f>
              <c:numCache>
                <c:formatCode>0.00"%"</c:formatCode>
                <c:ptCount val="2"/>
                <c:pt idx="0">
                  <c:v>1.1499999999999999</c:v>
                </c:pt>
                <c:pt idx="1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5-4A46-A458-6A21C8220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7367175"/>
        <c:axId val="1647369223"/>
      </c:areaChart>
      <c:barChart>
        <c:barDir val="col"/>
        <c:grouping val="clustered"/>
        <c:varyColors val="0"/>
        <c:ser>
          <c:idx val="1"/>
          <c:order val="1"/>
          <c:tx>
            <c:strRef>
              <c:f>Sheet1!$C$28</c:f>
              <c:strCache>
                <c:ptCount val="1"/>
                <c:pt idx="0">
                  <c:v>Sum of Non_Agri_Sector_Growth_Pct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Sheet1!$A$29:$A$31</c:f>
              <c:strCache>
                <c:ptCount val="2"/>
                <c:pt idx="0">
                  <c:v>2023</c:v>
                </c:pt>
                <c:pt idx="1">
                  <c:v>2025</c:v>
                </c:pt>
              </c:strCache>
            </c:strRef>
          </c:cat>
          <c:val>
            <c:numRef>
              <c:f>Sheet1!$C$29:$C$31</c:f>
              <c:numCache>
                <c:formatCode>0.00"%"</c:formatCode>
                <c:ptCount val="2"/>
                <c:pt idx="0">
                  <c:v>2.8</c:v>
                </c:pt>
                <c:pt idx="1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E5-4A46-A458-6A21C8220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7367175"/>
        <c:axId val="1647369223"/>
      </c:barChart>
      <c:catAx>
        <c:axId val="1647367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369223"/>
        <c:crosses val="autoZero"/>
        <c:auto val="1"/>
        <c:lblAlgn val="ctr"/>
        <c:lblOffset val="100"/>
        <c:noMultiLvlLbl val="0"/>
      </c:catAx>
      <c:valAx>
        <c:axId val="1647369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367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6</xdr:col>
      <xdr:colOff>190500</xdr:colOff>
      <xdr:row>3</xdr:row>
      <xdr:rowOff>123825</xdr:rowOff>
    </xdr:to>
    <xdr:sp macro="" textlink="">
      <xdr:nvSpPr>
        <xdr:cNvPr id="4" name="Round Diagonal Corner Rectangle 3">
          <a:extLst>
            <a:ext uri="{FF2B5EF4-FFF2-40B4-BE49-F238E27FC236}">
              <a16:creationId xmlns:a16="http://schemas.microsoft.com/office/drawing/2014/main" id="{F55B2B47-697D-42E2-8E9C-2035BB6645DD}"/>
            </a:ext>
            <a:ext uri="{147F2762-F138-4A5C-976F-8EAC2B608ADB}">
              <a16:predDERef xmlns:a16="http://schemas.microsoft.com/office/drawing/2014/main" pred="{F338E548-D715-FF30-00DB-08D37FE36030}"/>
            </a:ext>
          </a:extLst>
        </xdr:cNvPr>
        <xdr:cNvSpPr/>
      </xdr:nvSpPr>
      <xdr:spPr>
        <a:xfrm>
          <a:off x="2438400" y="190500"/>
          <a:ext cx="1409700" cy="504825"/>
        </a:xfrm>
        <a:prstGeom prst="round2Diag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7</xdr:col>
      <xdr:colOff>0</xdr:colOff>
      <xdr:row>1</xdr:row>
      <xdr:rowOff>0</xdr:rowOff>
    </xdr:from>
    <xdr:to>
      <xdr:col>9</xdr:col>
      <xdr:colOff>190500</xdr:colOff>
      <xdr:row>3</xdr:row>
      <xdr:rowOff>123825</xdr:rowOff>
    </xdr:to>
    <xdr:sp macro="" textlink="">
      <xdr:nvSpPr>
        <xdr:cNvPr id="5" name="Round Diagonal Corner Rectangle 4">
          <a:extLst>
            <a:ext uri="{FF2B5EF4-FFF2-40B4-BE49-F238E27FC236}">
              <a16:creationId xmlns:a16="http://schemas.microsoft.com/office/drawing/2014/main" id="{F265B26E-D339-40CB-B839-05099386D9EA}"/>
            </a:ext>
            <a:ext uri="{147F2762-F138-4A5C-976F-8EAC2B608ADB}">
              <a16:predDERef xmlns:a16="http://schemas.microsoft.com/office/drawing/2014/main" pred="{F55B2B47-697D-42E2-8E9C-2035BB6645DD}"/>
            </a:ext>
          </a:extLst>
        </xdr:cNvPr>
        <xdr:cNvSpPr/>
      </xdr:nvSpPr>
      <xdr:spPr>
        <a:xfrm>
          <a:off x="4267200" y="190500"/>
          <a:ext cx="1409700" cy="504825"/>
        </a:xfrm>
        <a:prstGeom prst="round2Diag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0</xdr:colOff>
      <xdr:row>1</xdr:row>
      <xdr:rowOff>0</xdr:rowOff>
    </xdr:from>
    <xdr:to>
      <xdr:col>12</xdr:col>
      <xdr:colOff>190500</xdr:colOff>
      <xdr:row>3</xdr:row>
      <xdr:rowOff>123825</xdr:rowOff>
    </xdr:to>
    <xdr:sp macro="" textlink="">
      <xdr:nvSpPr>
        <xdr:cNvPr id="6" name="Round Diagonal Corner Rectangle 5">
          <a:extLst>
            <a:ext uri="{FF2B5EF4-FFF2-40B4-BE49-F238E27FC236}">
              <a16:creationId xmlns:a16="http://schemas.microsoft.com/office/drawing/2014/main" id="{A05918F4-C1D2-4A86-941A-ED4EE3B23897}"/>
            </a:ext>
            <a:ext uri="{147F2762-F138-4A5C-976F-8EAC2B608ADB}">
              <a16:predDERef xmlns:a16="http://schemas.microsoft.com/office/drawing/2014/main" pred="{F265B26E-D339-40CB-B839-05099386D9EA}"/>
            </a:ext>
          </a:extLst>
        </xdr:cNvPr>
        <xdr:cNvSpPr/>
      </xdr:nvSpPr>
      <xdr:spPr>
        <a:xfrm>
          <a:off x="6096000" y="190500"/>
          <a:ext cx="1409700" cy="504825"/>
        </a:xfrm>
        <a:prstGeom prst="round2Diag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590550</xdr:colOff>
      <xdr:row>1</xdr:row>
      <xdr:rowOff>0</xdr:rowOff>
    </xdr:from>
    <xdr:to>
      <xdr:col>3</xdr:col>
      <xdr:colOff>171450</xdr:colOff>
      <xdr:row>3</xdr:row>
      <xdr:rowOff>123825</xdr:rowOff>
    </xdr:to>
    <xdr:sp macro="" textlink="">
      <xdr:nvSpPr>
        <xdr:cNvPr id="9" name="Round Diagonal Corner Rectangle 8">
          <a:extLst>
            <a:ext uri="{FF2B5EF4-FFF2-40B4-BE49-F238E27FC236}">
              <a16:creationId xmlns:a16="http://schemas.microsoft.com/office/drawing/2014/main" id="{061EC92A-B26F-40B9-B220-E5FC3256747D}"/>
            </a:ext>
            <a:ext uri="{147F2762-F138-4A5C-976F-8EAC2B608ADB}">
              <a16:predDERef xmlns:a16="http://schemas.microsoft.com/office/drawing/2014/main" pred="{A05918F4-C1D2-4A86-941A-ED4EE3B23897}"/>
            </a:ext>
          </a:extLst>
        </xdr:cNvPr>
        <xdr:cNvSpPr/>
      </xdr:nvSpPr>
      <xdr:spPr>
        <a:xfrm>
          <a:off x="590550" y="190500"/>
          <a:ext cx="1409700" cy="504825"/>
        </a:xfrm>
        <a:prstGeom prst="round2Diag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57150</xdr:colOff>
      <xdr:row>1</xdr:row>
      <xdr:rowOff>9525</xdr:rowOff>
    </xdr:from>
    <xdr:to>
      <xdr:col>3</xdr:col>
      <xdr:colOff>161925</xdr:colOff>
      <xdr:row>3</xdr:row>
      <xdr:rowOff>9525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E5A3F92-768C-7143-A757-D016E6F6A114}"/>
            </a:ext>
            <a:ext uri="{147F2762-F138-4A5C-976F-8EAC2B608ADB}">
              <a16:predDERef xmlns:a16="http://schemas.microsoft.com/office/drawing/2014/main" pred="{061EC92A-B26F-40B9-B220-E5FC3256747D}"/>
            </a:ext>
          </a:extLst>
        </xdr:cNvPr>
        <xdr:cNvSpPr txBox="1"/>
      </xdr:nvSpPr>
      <xdr:spPr>
        <a:xfrm>
          <a:off x="666750" y="200025"/>
          <a:ext cx="1323975" cy="381000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Real GDP:4.5</a:t>
          </a:r>
        </a:p>
      </xdr:txBody>
    </xdr:sp>
    <xdr:clientData/>
  </xdr:twoCellAnchor>
  <xdr:twoCellAnchor>
    <xdr:from>
      <xdr:col>4</xdr:col>
      <xdr:colOff>95250</xdr:colOff>
      <xdr:row>1</xdr:row>
      <xdr:rowOff>9525</xdr:rowOff>
    </xdr:from>
    <xdr:to>
      <xdr:col>6</xdr:col>
      <xdr:colOff>200025</xdr:colOff>
      <xdr:row>3</xdr:row>
      <xdr:rowOff>9525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EE8090D-9D4D-4EB8-9D68-F3C28BD41F32}"/>
            </a:ext>
            <a:ext uri="{147F2762-F138-4A5C-976F-8EAC2B608ADB}">
              <a16:predDERef xmlns:a16="http://schemas.microsoft.com/office/drawing/2014/main" pred="{9E5A3F92-768C-7143-A757-D016E6F6A114}"/>
            </a:ext>
          </a:extLst>
        </xdr:cNvPr>
        <xdr:cNvSpPr txBox="1"/>
      </xdr:nvSpPr>
      <xdr:spPr>
        <a:xfrm>
          <a:off x="2533650" y="200025"/>
          <a:ext cx="1323975" cy="381000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Inflation:4.5</a:t>
          </a:r>
        </a:p>
      </xdr:txBody>
    </xdr:sp>
    <xdr:clientData/>
  </xdr:twoCellAnchor>
  <xdr:twoCellAnchor>
    <xdr:from>
      <xdr:col>7</xdr:col>
      <xdr:colOff>66675</xdr:colOff>
      <xdr:row>1</xdr:row>
      <xdr:rowOff>19050</xdr:rowOff>
    </xdr:from>
    <xdr:to>
      <xdr:col>9</xdr:col>
      <xdr:colOff>171450</xdr:colOff>
      <xdr:row>3</xdr:row>
      <xdr:rowOff>19050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650053D-742F-4B61-BEED-E4CC9D567F19}"/>
            </a:ext>
            <a:ext uri="{147F2762-F138-4A5C-976F-8EAC2B608ADB}">
              <a16:predDERef xmlns:a16="http://schemas.microsoft.com/office/drawing/2014/main" pred="{3EE8090D-9D4D-4EB8-9D68-F3C28BD41F32}"/>
            </a:ext>
          </a:extLst>
        </xdr:cNvPr>
        <xdr:cNvSpPr txBox="1"/>
      </xdr:nvSpPr>
      <xdr:spPr>
        <a:xfrm>
          <a:off x="4333875" y="209550"/>
          <a:ext cx="1323975" cy="381000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Remittance Inflow:</a:t>
          </a:r>
        </a:p>
        <a:p>
          <a:pPr marL="0" indent="0" algn="l"/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1750</a:t>
          </a:r>
        </a:p>
      </xdr:txBody>
    </xdr:sp>
    <xdr:clientData/>
  </xdr:twoCellAnchor>
  <xdr:twoCellAnchor>
    <xdr:from>
      <xdr:col>10</xdr:col>
      <xdr:colOff>85725</xdr:colOff>
      <xdr:row>1</xdr:row>
      <xdr:rowOff>19050</xdr:rowOff>
    </xdr:from>
    <xdr:to>
      <xdr:col>12</xdr:col>
      <xdr:colOff>190500</xdr:colOff>
      <xdr:row>3</xdr:row>
      <xdr:rowOff>19050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0459C6B-F153-48B5-8780-01FAFE45637F}"/>
            </a:ext>
            <a:ext uri="{147F2762-F138-4A5C-976F-8EAC2B608ADB}">
              <a16:predDERef xmlns:a16="http://schemas.microsoft.com/office/drawing/2014/main" pred="{7650053D-742F-4B61-BEED-E4CC9D567F19}"/>
            </a:ext>
          </a:extLst>
        </xdr:cNvPr>
        <xdr:cNvSpPr txBox="1"/>
      </xdr:nvSpPr>
      <xdr:spPr>
        <a:xfrm>
          <a:off x="6181725" y="209550"/>
          <a:ext cx="1323975" cy="381000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FX Reserve 2026:</a:t>
          </a:r>
        </a:p>
        <a:p>
          <a:pPr marL="0" indent="0" algn="l"/>
          <a:r>
            <a:rPr lang="en-US" sz="1100">
              <a:solidFill>
                <a:srgbClr val="FF0000"/>
              </a:solidFill>
              <a:latin typeface="+mn-lt"/>
              <a:ea typeface="+mn-lt"/>
              <a:cs typeface="+mn-lt"/>
            </a:rPr>
            <a:t>23.5</a:t>
          </a:r>
        </a:p>
        <a:p>
          <a:pPr marL="0" indent="0" algn="l"/>
          <a:endParaRPr lang="en-US" sz="1100">
            <a:solidFill>
              <a:srgbClr val="FF0000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</xdr:col>
      <xdr:colOff>133350</xdr:colOff>
      <xdr:row>5</xdr:row>
      <xdr:rowOff>171450</xdr:rowOff>
    </xdr:from>
    <xdr:to>
      <xdr:col>8</xdr:col>
      <xdr:colOff>381000</xdr:colOff>
      <xdr:row>19</xdr:row>
      <xdr:rowOff>171450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8C04D08-044A-5E6F-1143-A341B457B198}"/>
            </a:ext>
            <a:ext uri="{147F2762-F138-4A5C-976F-8EAC2B608ADB}">
              <a16:predDERef xmlns:a16="http://schemas.microsoft.com/office/drawing/2014/main" pred="{D0459C6B-F153-48B5-8780-01FAFE456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142875</xdr:colOff>
      <xdr:row>21</xdr:row>
      <xdr:rowOff>47625</xdr:rowOff>
    </xdr:from>
    <xdr:to>
      <xdr:col>8</xdr:col>
      <xdr:colOff>361950</xdr:colOff>
      <xdr:row>34</xdr:row>
      <xdr:rowOff>66675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119E771-5F13-6144-1D15-831678065133}"/>
            </a:ext>
            <a:ext uri="{147F2762-F138-4A5C-976F-8EAC2B608ADB}">
              <a16:predDERef xmlns:a16="http://schemas.microsoft.com/office/drawing/2014/main" pred="{E8C04D08-044A-5E6F-1143-A341B457B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152400</xdr:colOff>
      <xdr:row>35</xdr:row>
      <xdr:rowOff>47625</xdr:rowOff>
    </xdr:from>
    <xdr:to>
      <xdr:col>8</xdr:col>
      <xdr:colOff>457200</xdr:colOff>
      <xdr:row>49</xdr:row>
      <xdr:rowOff>123825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9E0B560-6CB6-B406-FD13-AF762F3E77BB}"/>
            </a:ext>
            <a:ext uri="{147F2762-F138-4A5C-976F-8EAC2B608ADB}">
              <a16:predDERef xmlns:a16="http://schemas.microsoft.com/office/drawing/2014/main" pred="{5119E771-5F13-6144-1D15-8316780651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600075</xdr:colOff>
      <xdr:row>6</xdr:row>
      <xdr:rowOff>0</xdr:rowOff>
    </xdr:from>
    <xdr:to>
      <xdr:col>11</xdr:col>
      <xdr:colOff>600075</xdr:colOff>
      <xdr:row>23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7" name="Year_AD">
              <a:extLst>
                <a:ext uri="{FF2B5EF4-FFF2-40B4-BE49-F238E27FC236}">
                  <a16:creationId xmlns:a16="http://schemas.microsoft.com/office/drawing/2014/main" id="{45D52A01-20B6-C2B8-6D67-2F2531192FDC}"/>
                </a:ext>
                <a:ext uri="{147F2762-F138-4A5C-976F-8EAC2B608ADB}">
                  <a16:predDERef xmlns:a16="http://schemas.microsoft.com/office/drawing/2014/main" pred="{69E0B560-6CB6-B406-FD13-AF762F3E77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_A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76875" y="1143000"/>
              <a:ext cx="1828800" cy="3419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4.718795949077" createdVersion="8" refreshedVersion="8" minRefreshableVersion="3" recordCount="10" xr:uid="{09AB3FB8-40FA-434A-AE83-A098A4B3B332}">
  <cacheSource type="worksheet">
    <worksheetSource ref="A1:O11" sheet="in"/>
  </cacheSource>
  <cacheFields count="15">
    <cacheField name="Row_ID" numFmtId="0">
      <sharedItems containsSemiMixedTypes="0" containsString="0" containsNumber="1" containsInteger="1" minValue="1" maxValue="10"/>
    </cacheField>
    <cacheField name="Fiscal_Year_BS" numFmtId="0">
      <sharedItems/>
    </cacheField>
    <cacheField name="Year_AD" numFmtId="0">
      <sharedItems containsSemiMixedTypes="0" containsString="0" containsNumber="1" containsInteger="1" minValue="2021" maxValue="2030" count="10">
        <n v="2021"/>
        <n v="2022"/>
        <n v="2023"/>
        <n v="2024"/>
        <n v="2025"/>
        <n v="2026"/>
        <n v="2027"/>
        <n v="2028"/>
        <n v="2029"/>
        <n v="2030"/>
      </sharedItems>
    </cacheField>
    <cacheField name="Quarter" numFmtId="0">
      <sharedItems/>
    </cacheField>
    <cacheField name="GDP_Real_Growth_Pct" numFmtId="171">
      <sharedItems containsSemiMixedTypes="0" containsString="0" containsNumber="1" minValue="2.31" maxValue="5.5"/>
    </cacheField>
    <cacheField name="Agri_Sector_Growth_Pct" numFmtId="171">
      <sharedItems containsSemiMixedTypes="0" containsString="0" containsNumber="1" minValue="1.1499999999999999" maxValue="3.6"/>
    </cacheField>
    <cacheField name="Non_Agri_Sector_Growth_Pct" numFmtId="171">
      <sharedItems containsSemiMixedTypes="0" containsString="0" containsNumber="1" minValue="2.8" maxValue="6.5"/>
    </cacheField>
    <cacheField name="CPI_Inflation_Avg_Pct" numFmtId="171">
      <sharedItems containsSemiMixedTypes="0" containsString="0" containsNumber="1" minValue="2.13" maxValue="7.74"/>
    </cacheField>
    <cacheField name="Remittance_Inflow_NPR_Billions" numFmtId="0">
      <sharedItems containsSemiMixedTypes="0" containsString="0" containsNumber="1" minValue="961.1" maxValue="2350"/>
    </cacheField>
    <cacheField name="Total_Imports_NPR_Billions" numFmtId="0">
      <sharedItems containsSemiMixedTypes="0" containsString="0" containsNumber="1" minValue="1539.8" maxValue="2100"/>
    </cacheField>
    <cacheField name="Total_Exports_NPR_Billions" numFmtId="0">
      <sharedItems containsSemiMixedTypes="0" containsString="0" containsNumber="1" minValue="141.1" maxValue="250"/>
    </cacheField>
    <cacheField name="FX_Reserves_USD_Billions" numFmtId="0">
      <sharedItems containsSemiMixedTypes="0" containsString="0" containsNumber="1" minValue="9.4499999999999993" maxValue="26.5"/>
    </cacheField>
    <cacheField name="Import_Cover_Months" numFmtId="0">
      <sharedItems containsSemiMixedTypes="0" containsString="0" containsNumber="1" minValue="6.9" maxValue="14.2"/>
    </cacheField>
    <cacheField name="Total_Trade_NPR_Billions" numFmtId="0">
      <sharedItems containsSemiMixedTypes="0" containsString="0" containsNumber="1" minValue="1398.7" maxValue="1850"/>
    </cacheField>
    <cacheField name="Total_export_to_import_pct" numFmtId="9">
      <sharedItems containsSemiMixedTypes="0" containsString="0" containsNumber="1" minValue="9.1635277308741395E-2" maxValue="0.11904761904761904"/>
    </cacheField>
  </cacheFields>
  <extLst>
    <ext xmlns:x14="http://schemas.microsoft.com/office/spreadsheetml/2009/9/main" uri="{725AE2AE-9491-48be-B2B4-4EB974FC3084}">
      <x14:pivotCacheDefinition pivotCacheId="157448963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s v="2077/78"/>
    <x v="0"/>
    <s v="Full_Year"/>
    <n v="4.25"/>
    <n v="2.1"/>
    <n v="5.0999999999999996"/>
    <n v="3.6"/>
    <n v="961.1"/>
    <n v="1539.8"/>
    <n v="141.1"/>
    <n v="11.75"/>
    <n v="10.199999999999999"/>
    <n v="1398.7"/>
    <n v="9.1635277308741395E-2"/>
  </r>
  <r>
    <n v="2"/>
    <s v="2078/79"/>
    <x v="1"/>
    <s v="Full_Year"/>
    <n v="5.26"/>
    <n v="2.4"/>
    <n v="6.5"/>
    <n v="6.32"/>
    <n v="1007.3"/>
    <n v="1920.4"/>
    <n v="200"/>
    <n v="9.4499999999999993"/>
    <n v="6.9"/>
    <n v="1720.4"/>
    <n v="0.10414496979795876"/>
  </r>
  <r>
    <n v="3"/>
    <s v="2079/80"/>
    <x v="2"/>
    <s v="Full_Year"/>
    <n v="2.31"/>
    <n v="1.1499999999999999"/>
    <n v="2.8"/>
    <n v="7.74"/>
    <n v="1220.5"/>
    <n v="1611.7"/>
    <n v="157.1"/>
    <n v="11.71"/>
    <n v="9.6"/>
    <n v="1454.6000000000001"/>
    <n v="9.7474716138239118E-2"/>
  </r>
  <r>
    <n v="4"/>
    <s v="2080/81"/>
    <x v="3"/>
    <s v="Full_Year"/>
    <n v="3.85"/>
    <n v="3.05"/>
    <n v="4.2"/>
    <n v="5.44"/>
    <n v="1445"/>
    <n v="1590"/>
    <n v="152"/>
    <n v="14.84"/>
    <n v="12.4"/>
    <n v="1438"/>
    <n v="9.5597484276729566E-2"/>
  </r>
  <r>
    <n v="5"/>
    <s v="2081/82"/>
    <x v="4"/>
    <s v="Full_Year"/>
    <n v="4.0999999999999996"/>
    <n v="2.8"/>
    <n v="4.5999999999999996"/>
    <n v="2.13"/>
    <n v="1600"/>
    <n v="1650"/>
    <n v="165"/>
    <n v="19.600000000000001"/>
    <n v="13.5"/>
    <n v="1485"/>
    <n v="0.1"/>
  </r>
  <r>
    <n v="6"/>
    <s v="2082/83"/>
    <x v="5"/>
    <s v="Full_Year"/>
    <n v="4.5"/>
    <n v="3.1"/>
    <n v="5.0999999999999996"/>
    <n v="4.5"/>
    <n v="1750"/>
    <n v="1720"/>
    <n v="180"/>
    <n v="23.5"/>
    <n v="14.2"/>
    <n v="1540"/>
    <n v="0.10465116279069768"/>
  </r>
  <r>
    <n v="7"/>
    <s v="2083/84"/>
    <x v="6"/>
    <s v="Full_Year"/>
    <n v="4.8"/>
    <n v="3.2"/>
    <n v="5.5"/>
    <n v="4.8"/>
    <n v="1900"/>
    <n v="1800"/>
    <n v="195"/>
    <n v="24.2"/>
    <n v="13.9"/>
    <n v="1605"/>
    <n v="0.10833333333333334"/>
  </r>
  <r>
    <n v="8"/>
    <s v="2084/85"/>
    <x v="7"/>
    <s v="Full_Year"/>
    <n v="5"/>
    <n v="3.4"/>
    <n v="5.7"/>
    <n v="5"/>
    <n v="2050"/>
    <n v="1900"/>
    <n v="210"/>
    <n v="25"/>
    <n v="13.6"/>
    <n v="1690"/>
    <n v="0.11052631578947368"/>
  </r>
  <r>
    <n v="9"/>
    <s v="2085/86"/>
    <x v="8"/>
    <s v="Full_Year"/>
    <n v="5.2"/>
    <n v="3.5"/>
    <n v="5.9"/>
    <n v="4.9000000000000004"/>
    <n v="2200"/>
    <n v="2000"/>
    <n v="230"/>
    <n v="25.8"/>
    <n v="13.3"/>
    <n v="1770"/>
    <n v="0.115"/>
  </r>
  <r>
    <n v="10"/>
    <s v="2086/87"/>
    <x v="9"/>
    <s v="Full_Year"/>
    <n v="5.5"/>
    <n v="3.6"/>
    <n v="6.2"/>
    <n v="4.7"/>
    <n v="2350"/>
    <n v="2100"/>
    <n v="250"/>
    <n v="26.5"/>
    <n v="13"/>
    <n v="1850"/>
    <n v="0.119047619047619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3330A-C629-4D84-A9DA-A19CF2D1010F}" name="PivotTable3" cacheId="4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28:C31" firstHeaderRow="0" firstDataRow="1" firstDataCol="1"/>
  <pivotFields count="15">
    <pivotField compact="0" outline="0" showAll="0"/>
    <pivotField compact="0" outline="0" showAll="0"/>
    <pivotField axis="axisRow" compact="0" outline="0" showAll="0">
      <items count="11">
        <item h="1" x="0"/>
        <item h="1" x="1"/>
        <item x="2"/>
        <item h="1" x="3"/>
        <item x="4"/>
        <item h="1" x="5"/>
        <item h="1" x="6"/>
        <item h="1" x="7"/>
        <item h="1" x="8"/>
        <item h="1" x="9"/>
        <item t="default"/>
      </items>
    </pivotField>
    <pivotField compact="0" outline="0" showAll="0"/>
    <pivotField compact="0" numFmtId="171" outline="0" showAll="0"/>
    <pivotField dataField="1" compact="0" numFmtId="171" outline="0" showAll="0"/>
    <pivotField dataField="1" compact="0" numFmtId="171" outline="0" showAll="0"/>
    <pivotField compact="0" numFmtId="17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</pivotFields>
  <rowFields count="1">
    <field x="2"/>
  </rowFields>
  <rowItems count="3"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gri_Sector_Growth_Pct" fld="5" baseField="0" baseItem="0" numFmtId="171"/>
    <dataField name="Sum of Non_Agri_Sector_Growth_Pct" fld="6" baseField="0" baseItem="0" numFmtId="171"/>
  </dataFields>
  <chartFormats count="16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C587E3-37D5-4759-9115-EFCE61419F88}" name="PivotTable2" cacheId="4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15:C18" firstHeaderRow="0" firstDataRow="1" firstDataCol="1"/>
  <pivotFields count="15">
    <pivotField compact="0" outline="0" showAll="0"/>
    <pivotField compact="0" outline="0" showAll="0"/>
    <pivotField axis="axisRow" compact="0" outline="0" showAll="0">
      <items count="11">
        <item h="1" x="0"/>
        <item h="1" x="1"/>
        <item x="2"/>
        <item h="1" x="3"/>
        <item x="4"/>
        <item h="1" x="5"/>
        <item h="1" x="6"/>
        <item h="1" x="7"/>
        <item h="1" x="8"/>
        <item h="1" x="9"/>
        <item t="default"/>
      </items>
    </pivotField>
    <pivotField compact="0" outline="0" showAll="0"/>
    <pivotField compact="0" numFmtId="171" outline="0" showAll="0"/>
    <pivotField compact="0" numFmtId="171" outline="0" showAll="0"/>
    <pivotField compact="0" numFmtId="171" outline="0" showAll="0"/>
    <pivotField compact="0" numFmtId="17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9" outline="0" showAll="0"/>
  </pivotFields>
  <rowFields count="1">
    <field x="2"/>
  </rowFields>
  <rowItems count="3"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mittance_Inflow_NPR_Billions" fld="8" baseField="0" baseItem="0"/>
    <dataField name="Sum of Total_Trade_NPR_Billions" fld="13" baseField="0" baseItem="0"/>
  </dataFields>
  <chartFormats count="1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7FA3B-0DCB-4A83-AAC8-875E440BF76B}" name="PivotTable1" cacheId="4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C5" firstHeaderRow="0" firstDataRow="1" firstDataCol="1"/>
  <pivotFields count="15">
    <pivotField compact="0" outline="0" showAll="0"/>
    <pivotField compact="0" outline="0" showAll="0"/>
    <pivotField axis="axisRow" compact="0" outline="0" showAll="0">
      <items count="11">
        <item h="1" x="0"/>
        <item h="1" x="1"/>
        <item x="2"/>
        <item h="1" x="3"/>
        <item x="4"/>
        <item h="1" x="5"/>
        <item h="1" x="6"/>
        <item h="1" x="7"/>
        <item h="1" x="8"/>
        <item h="1" x="9"/>
        <item t="default"/>
      </items>
    </pivotField>
    <pivotField compact="0" outline="0" showAll="0"/>
    <pivotField dataField="1" compact="0" numFmtId="171" outline="0" showAll="0"/>
    <pivotField compact="0" numFmtId="171" outline="0" showAll="0"/>
    <pivotField compact="0" numFmtId="171" outline="0" showAll="0"/>
    <pivotField dataField="1" compact="0" numFmtId="17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</pivotFields>
  <rowFields count="1">
    <field x="2"/>
  </rowFields>
  <rowItems count="3"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DP_Real_Growth_Pct" fld="4" baseField="0" baseItem="0" numFmtId="171"/>
    <dataField name="Sum of CPI_Inflation_Avg_Pct" fld="7" baseField="0" baseItem="0" numFmtId="171"/>
  </dataField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_AD" xr10:uid="{61B8DA7E-381C-4B2A-907F-E3580338AD8A}" sourceName="Year_AD">
  <pivotTables>
    <pivotTable tabId="2" name="PivotTable3"/>
    <pivotTable tabId="2" name="PivotTable1"/>
    <pivotTable tabId="2" name="PivotTable2"/>
  </pivotTables>
  <data>
    <tabular pivotCacheId="1574489636">
      <items count="10">
        <i x="0"/>
        <i x="1"/>
        <i x="2" s="1"/>
        <i x="3"/>
        <i x="4" s="1"/>
        <i x="5"/>
        <i x="6"/>
        <i x="7"/>
        <i x="8"/>
        <i x="9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_AD" xr10:uid="{C8882B83-2CFC-4DAE-A455-BA76161427FB}" cache="Slicer_Year_AD" caption="Year_AD" style="SlicerStyleLight5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D7300-2F51-4F93-B185-49B33BB12B9F}">
  <dimension ref="A1:X15"/>
  <sheetViews>
    <sheetView workbookViewId="0">
      <selection sqref="A1:O11"/>
    </sheetView>
  </sheetViews>
  <sheetFormatPr defaultRowHeight="15"/>
  <cols>
    <col min="2" max="2" width="13.7109375" bestFit="1" customWidth="1"/>
    <col min="5" max="5" width="20.85546875" bestFit="1" customWidth="1"/>
    <col min="6" max="6" width="22.42578125" bestFit="1" customWidth="1"/>
    <col min="7" max="7" width="29.28515625" customWidth="1"/>
    <col min="8" max="8" width="20.140625" bestFit="1" customWidth="1"/>
    <col min="9" max="9" width="29.42578125" bestFit="1" customWidth="1"/>
    <col min="10" max="10" width="25.140625" bestFit="1" customWidth="1"/>
    <col min="11" max="11" width="24.85546875" bestFit="1" customWidth="1"/>
    <col min="12" max="12" width="23.85546875" bestFit="1" customWidth="1"/>
    <col min="13" max="13" width="20.85546875" bestFit="1" customWidth="1"/>
    <col min="14" max="14" width="23.5703125" customWidth="1"/>
    <col min="15" max="15" width="25.7109375" customWidth="1"/>
    <col min="17" max="17" width="18.7109375" customWidth="1"/>
    <col min="24" max="24" width="28.2851562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Q1" t="s">
        <v>15</v>
      </c>
      <c r="S1" t="s">
        <v>16</v>
      </c>
      <c r="U1" t="s">
        <v>17</v>
      </c>
      <c r="X1" t="s">
        <v>18</v>
      </c>
    </row>
    <row r="2" spans="1:24">
      <c r="A2">
        <v>1</v>
      </c>
      <c r="B2" t="s">
        <v>19</v>
      </c>
      <c r="C2">
        <v>2021</v>
      </c>
      <c r="D2" t="s">
        <v>20</v>
      </c>
      <c r="E2" s="3">
        <v>4.25</v>
      </c>
      <c r="F2" s="3">
        <v>2.1</v>
      </c>
      <c r="G2" s="3">
        <v>5.0999999999999996</v>
      </c>
      <c r="H2" s="3">
        <v>3.6</v>
      </c>
      <c r="I2">
        <v>961.1</v>
      </c>
      <c r="J2">
        <v>1539.8</v>
      </c>
      <c r="K2">
        <v>141.1</v>
      </c>
      <c r="L2">
        <v>11.75</v>
      </c>
      <c r="M2">
        <v>10.199999999999999</v>
      </c>
      <c r="N2" cm="1">
        <f t="array" ref="N2:N11">J2:J11-K2:K11</f>
        <v>1398.7</v>
      </c>
      <c r="O2" s="1" cm="1">
        <f t="array" ref="O2:O11">K2:K11/J2:J11</f>
        <v>9.1635277308741395E-2</v>
      </c>
      <c r="Q2">
        <f>_xlfn.XLOOKUP(C7,C:C,E:E)</f>
        <v>4.5</v>
      </c>
      <c r="S2">
        <f>_xlfn.XLOOKUP(C7,C:C,H:H)</f>
        <v>4.5</v>
      </c>
      <c r="U2">
        <f>_xlfn.XLOOKUP(C7,C:C,I:I)</f>
        <v>1750</v>
      </c>
      <c r="X2">
        <f>_xlfn.XLOOKUP(C7,C:C,L:L)</f>
        <v>23.5</v>
      </c>
    </row>
    <row r="3" spans="1:24">
      <c r="A3">
        <v>2</v>
      </c>
      <c r="B3" t="s">
        <v>21</v>
      </c>
      <c r="C3">
        <v>2022</v>
      </c>
      <c r="D3" t="s">
        <v>20</v>
      </c>
      <c r="E3" s="3">
        <v>5.26</v>
      </c>
      <c r="F3" s="3">
        <v>2.4</v>
      </c>
      <c r="G3" s="3">
        <v>6.5</v>
      </c>
      <c r="H3" s="3">
        <v>6.32</v>
      </c>
      <c r="I3">
        <v>1007.3</v>
      </c>
      <c r="J3">
        <v>1920.4</v>
      </c>
      <c r="K3">
        <v>200</v>
      </c>
      <c r="L3">
        <v>9.4499999999999993</v>
      </c>
      <c r="M3">
        <v>6.9</v>
      </c>
      <c r="N3">
        <v>1720.4</v>
      </c>
      <c r="O3" s="1">
        <v>0.10414496979795876</v>
      </c>
    </row>
    <row r="4" spans="1:24">
      <c r="A4">
        <v>3</v>
      </c>
      <c r="B4" t="s">
        <v>22</v>
      </c>
      <c r="C4">
        <v>2023</v>
      </c>
      <c r="D4" t="s">
        <v>20</v>
      </c>
      <c r="E4" s="3">
        <v>2.31</v>
      </c>
      <c r="F4" s="3">
        <v>1.1499999999999999</v>
      </c>
      <c r="G4" s="3">
        <v>2.8</v>
      </c>
      <c r="H4" s="3">
        <v>7.74</v>
      </c>
      <c r="I4">
        <v>1220.5</v>
      </c>
      <c r="J4">
        <v>1611.7</v>
      </c>
      <c r="K4">
        <v>157.1</v>
      </c>
      <c r="L4">
        <v>11.71</v>
      </c>
      <c r="M4">
        <v>9.6</v>
      </c>
      <c r="N4">
        <v>1454.6000000000001</v>
      </c>
      <c r="O4" s="1">
        <v>9.7474716138239118E-2</v>
      </c>
    </row>
    <row r="5" spans="1:24">
      <c r="A5">
        <v>4</v>
      </c>
      <c r="B5" t="s">
        <v>23</v>
      </c>
      <c r="C5">
        <v>2024</v>
      </c>
      <c r="D5" t="s">
        <v>20</v>
      </c>
      <c r="E5" s="3">
        <v>3.85</v>
      </c>
      <c r="F5" s="3">
        <v>3.05</v>
      </c>
      <c r="G5" s="3">
        <v>4.2</v>
      </c>
      <c r="H5" s="3">
        <v>5.44</v>
      </c>
      <c r="I5">
        <v>1445</v>
      </c>
      <c r="J5">
        <v>1590</v>
      </c>
      <c r="K5">
        <v>152</v>
      </c>
      <c r="L5">
        <v>14.84</v>
      </c>
      <c r="M5">
        <v>12.4</v>
      </c>
      <c r="N5">
        <v>1438</v>
      </c>
      <c r="O5" s="1">
        <v>9.5597484276729566E-2</v>
      </c>
    </row>
    <row r="6" spans="1:24">
      <c r="A6">
        <v>5</v>
      </c>
      <c r="B6" t="s">
        <v>24</v>
      </c>
      <c r="C6">
        <v>2025</v>
      </c>
      <c r="D6" t="s">
        <v>20</v>
      </c>
      <c r="E6" s="3">
        <v>4.0999999999999996</v>
      </c>
      <c r="F6" s="3">
        <v>2.8</v>
      </c>
      <c r="G6" s="3">
        <v>4.5999999999999996</v>
      </c>
      <c r="H6" s="3">
        <v>2.13</v>
      </c>
      <c r="I6">
        <v>1600</v>
      </c>
      <c r="J6">
        <v>1650</v>
      </c>
      <c r="K6">
        <v>165</v>
      </c>
      <c r="L6">
        <v>19.600000000000001</v>
      </c>
      <c r="M6">
        <v>13.5</v>
      </c>
      <c r="N6">
        <v>1485</v>
      </c>
      <c r="O6" s="1">
        <v>0.1</v>
      </c>
    </row>
    <row r="7" spans="1:24">
      <c r="A7">
        <v>6</v>
      </c>
      <c r="B7" t="s">
        <v>25</v>
      </c>
      <c r="C7">
        <v>2026</v>
      </c>
      <c r="D7" t="s">
        <v>20</v>
      </c>
      <c r="E7" s="3">
        <v>4.5</v>
      </c>
      <c r="F7" s="3">
        <v>3.1</v>
      </c>
      <c r="G7" s="3">
        <v>5.0999999999999996</v>
      </c>
      <c r="H7" s="3">
        <v>4.5</v>
      </c>
      <c r="I7">
        <v>1750</v>
      </c>
      <c r="J7">
        <v>1720</v>
      </c>
      <c r="K7">
        <v>180</v>
      </c>
      <c r="L7">
        <v>23.5</v>
      </c>
      <c r="M7">
        <v>14.2</v>
      </c>
      <c r="N7">
        <v>1540</v>
      </c>
      <c r="O7" s="1">
        <v>0.10465116279069768</v>
      </c>
    </row>
    <row r="8" spans="1:24">
      <c r="A8">
        <v>7</v>
      </c>
      <c r="B8" t="s">
        <v>26</v>
      </c>
      <c r="C8">
        <v>2027</v>
      </c>
      <c r="D8" t="s">
        <v>20</v>
      </c>
      <c r="E8" s="3">
        <v>4.8</v>
      </c>
      <c r="F8" s="3">
        <v>3.2</v>
      </c>
      <c r="G8" s="3">
        <v>5.5</v>
      </c>
      <c r="H8" s="3">
        <v>4.8</v>
      </c>
      <c r="I8">
        <v>1900</v>
      </c>
      <c r="J8">
        <v>1800</v>
      </c>
      <c r="K8">
        <v>195</v>
      </c>
      <c r="L8">
        <v>24.2</v>
      </c>
      <c r="M8">
        <v>13.9</v>
      </c>
      <c r="N8">
        <v>1605</v>
      </c>
      <c r="O8" s="1">
        <v>0.10833333333333334</v>
      </c>
    </row>
    <row r="9" spans="1:24">
      <c r="A9">
        <v>8</v>
      </c>
      <c r="B9" t="s">
        <v>27</v>
      </c>
      <c r="C9">
        <v>2028</v>
      </c>
      <c r="D9" t="s">
        <v>20</v>
      </c>
      <c r="E9" s="3">
        <v>5</v>
      </c>
      <c r="F9" s="3">
        <v>3.4</v>
      </c>
      <c r="G9" s="3">
        <v>5.7</v>
      </c>
      <c r="H9" s="3">
        <v>5</v>
      </c>
      <c r="I9">
        <v>2050</v>
      </c>
      <c r="J9">
        <v>1900</v>
      </c>
      <c r="K9">
        <v>210</v>
      </c>
      <c r="L9">
        <v>25</v>
      </c>
      <c r="M9">
        <v>13.6</v>
      </c>
      <c r="N9">
        <v>1690</v>
      </c>
      <c r="O9" s="1">
        <v>0.11052631578947368</v>
      </c>
    </row>
    <row r="10" spans="1:24">
      <c r="A10">
        <v>9</v>
      </c>
      <c r="B10" t="s">
        <v>28</v>
      </c>
      <c r="C10">
        <v>2029</v>
      </c>
      <c r="D10" t="s">
        <v>20</v>
      </c>
      <c r="E10" s="3">
        <v>5.2</v>
      </c>
      <c r="F10" s="3">
        <v>3.5</v>
      </c>
      <c r="G10" s="3">
        <v>5.9</v>
      </c>
      <c r="H10" s="3">
        <v>4.9000000000000004</v>
      </c>
      <c r="I10">
        <v>2200</v>
      </c>
      <c r="J10">
        <v>2000</v>
      </c>
      <c r="K10">
        <v>230</v>
      </c>
      <c r="L10">
        <v>25.8</v>
      </c>
      <c r="M10">
        <v>13.3</v>
      </c>
      <c r="N10">
        <v>1770</v>
      </c>
      <c r="O10" s="1">
        <v>0.115</v>
      </c>
    </row>
    <row r="11" spans="1:24">
      <c r="A11">
        <v>10</v>
      </c>
      <c r="B11" t="s">
        <v>29</v>
      </c>
      <c r="C11">
        <v>2030</v>
      </c>
      <c r="D11" t="s">
        <v>20</v>
      </c>
      <c r="E11" s="3">
        <v>5.5</v>
      </c>
      <c r="F11" s="3">
        <v>3.6</v>
      </c>
      <c r="G11" s="3">
        <v>6.2</v>
      </c>
      <c r="H11" s="3">
        <v>4.7</v>
      </c>
      <c r="I11">
        <v>2350</v>
      </c>
      <c r="J11">
        <v>2100</v>
      </c>
      <c r="K11">
        <v>250</v>
      </c>
      <c r="L11">
        <v>26.5</v>
      </c>
      <c r="M11">
        <v>13</v>
      </c>
      <c r="N11">
        <v>1850</v>
      </c>
      <c r="O11" s="1">
        <v>0.11904761904761904</v>
      </c>
    </row>
    <row r="15" spans="1:24">
      <c r="F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DE40F-F797-4956-BF5C-1F86126DAC8B}">
  <dimension ref="A2:E31"/>
  <sheetViews>
    <sheetView workbookViewId="0">
      <selection activeCell="B34" sqref="B34"/>
    </sheetView>
  </sheetViews>
  <sheetFormatPr defaultRowHeight="15"/>
  <cols>
    <col min="1" max="1" width="11.7109375" bestFit="1" customWidth="1"/>
    <col min="2" max="2" width="36.85546875" bestFit="1" customWidth="1"/>
    <col min="3" max="3" width="30.5703125" bestFit="1" customWidth="1"/>
    <col min="5" max="5" width="28.42578125" customWidth="1"/>
  </cols>
  <sheetData>
    <row r="2" spans="1:5">
      <c r="A2" s="4" t="s">
        <v>2</v>
      </c>
      <c r="B2" t="s">
        <v>30</v>
      </c>
      <c r="C2" t="s">
        <v>31</v>
      </c>
      <c r="E2" t="s">
        <v>15</v>
      </c>
    </row>
    <row r="3" spans="1:5">
      <c r="A3">
        <v>2023</v>
      </c>
      <c r="B3" s="3">
        <v>2.31</v>
      </c>
      <c r="C3" s="3">
        <v>7.74</v>
      </c>
      <c r="E3">
        <v>4.5</v>
      </c>
    </row>
    <row r="4" spans="1:5">
      <c r="A4">
        <v>2025</v>
      </c>
      <c r="B4" s="3">
        <v>4.0999999999999996</v>
      </c>
      <c r="C4" s="3">
        <v>2.13</v>
      </c>
    </row>
    <row r="5" spans="1:5">
      <c r="A5" t="s">
        <v>32</v>
      </c>
      <c r="B5" s="3">
        <v>6.41</v>
      </c>
      <c r="C5" s="3">
        <v>9.870000000000001</v>
      </c>
      <c r="E5" t="s">
        <v>16</v>
      </c>
    </row>
    <row r="6" spans="1:5">
      <c r="E6">
        <v>4.5</v>
      </c>
    </row>
    <row r="8" spans="1:5">
      <c r="E8" t="s">
        <v>17</v>
      </c>
    </row>
    <row r="9" spans="1:5">
      <c r="E9">
        <v>1750</v>
      </c>
    </row>
    <row r="11" spans="1:5">
      <c r="E11" t="s">
        <v>18</v>
      </c>
    </row>
    <row r="12" spans="1:5">
      <c r="E12">
        <v>23.5</v>
      </c>
    </row>
    <row r="15" spans="1:5">
      <c r="A15" s="4" t="s">
        <v>2</v>
      </c>
      <c r="B15" t="s">
        <v>33</v>
      </c>
      <c r="C15" t="s">
        <v>34</v>
      </c>
    </row>
    <row r="16" spans="1:5">
      <c r="A16">
        <v>2023</v>
      </c>
      <c r="B16" s="2">
        <v>1220.5</v>
      </c>
      <c r="C16" s="2">
        <v>1454.6000000000001</v>
      </c>
    </row>
    <row r="17" spans="1:3">
      <c r="A17">
        <v>2025</v>
      </c>
      <c r="B17" s="2">
        <v>1600</v>
      </c>
      <c r="C17" s="2">
        <v>1485</v>
      </c>
    </row>
    <row r="18" spans="1:3">
      <c r="A18" t="s">
        <v>32</v>
      </c>
      <c r="B18" s="2">
        <v>2820.5</v>
      </c>
      <c r="C18" s="2">
        <v>2939.6000000000004</v>
      </c>
    </row>
    <row r="28" spans="1:3">
      <c r="A28" s="4" t="s">
        <v>2</v>
      </c>
      <c r="B28" t="s">
        <v>35</v>
      </c>
      <c r="C28" t="s">
        <v>36</v>
      </c>
    </row>
    <row r="29" spans="1:3">
      <c r="A29">
        <v>2023</v>
      </c>
      <c r="B29" s="3">
        <v>1.1499999999999999</v>
      </c>
      <c r="C29" s="3">
        <v>2.8</v>
      </c>
    </row>
    <row r="30" spans="1:3">
      <c r="A30">
        <v>2025</v>
      </c>
      <c r="B30" s="3">
        <v>2.8</v>
      </c>
      <c r="C30" s="3">
        <v>4.5999999999999996</v>
      </c>
    </row>
    <row r="31" spans="1:3">
      <c r="A31" t="s">
        <v>32</v>
      </c>
      <c r="B31" s="3">
        <v>3.9499999999999997</v>
      </c>
      <c r="C31" s="3">
        <v>7.3999999999999995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12B1-6F23-4E0F-A8A3-9C2B12B63E70}">
  <dimension ref="A1:Q24"/>
  <sheetViews>
    <sheetView showGridLines="0" tabSelected="1" workbookViewId="0">
      <selection activeCell="N20" sqref="N20"/>
    </sheetView>
  </sheetViews>
  <sheetFormatPr defaultRowHeight="15"/>
  <cols>
    <col min="1" max="16384" width="9.140625" style="6"/>
  </cols>
  <sheetData>
    <row r="1" spans="1:17">
      <c r="A1" s="5"/>
      <c r="B1" s="5"/>
      <c r="C1" s="5"/>
    </row>
    <row r="2" spans="1:17">
      <c r="A2" s="5"/>
      <c r="B2" s="5">
        <f>Sheet1!E3</f>
        <v>4.5</v>
      </c>
      <c r="C2" s="5"/>
    </row>
    <row r="3" spans="1:17">
      <c r="A3" s="5"/>
      <c r="B3" s="5"/>
      <c r="C3" s="5"/>
    </row>
    <row r="4" spans="1:17">
      <c r="B4" s="5"/>
      <c r="C4" s="5"/>
    </row>
    <row r="5" spans="1:17">
      <c r="B5" s="5"/>
      <c r="C5" s="5"/>
      <c r="L5" s="5"/>
      <c r="M5" s="5"/>
      <c r="N5" s="5"/>
      <c r="O5" s="5"/>
    </row>
    <row r="6" spans="1:17">
      <c r="L6" s="5"/>
      <c r="M6" s="5"/>
      <c r="N6" s="5"/>
      <c r="O6" s="5"/>
    </row>
    <row r="7" spans="1:17">
      <c r="J7" s="7"/>
      <c r="K7" s="7"/>
      <c r="L7" s="7"/>
      <c r="M7" s="5"/>
      <c r="N7" s="5"/>
      <c r="O7" s="5"/>
    </row>
    <row r="8" spans="1:17">
      <c r="J8" s="7"/>
      <c r="K8" s="7"/>
      <c r="L8" s="7"/>
      <c r="M8" s="5"/>
      <c r="N8" s="5"/>
      <c r="O8" s="5"/>
    </row>
    <row r="9" spans="1:17">
      <c r="J9" s="7"/>
      <c r="K9" s="7"/>
      <c r="L9" s="7"/>
      <c r="M9" s="5"/>
      <c r="N9" s="5"/>
      <c r="O9" s="5"/>
    </row>
    <row r="10" spans="1:17">
      <c r="J10" s="7"/>
      <c r="K10" s="7"/>
      <c r="L10" s="7"/>
      <c r="M10" s="5"/>
      <c r="N10" s="5"/>
      <c r="O10" s="5"/>
    </row>
    <row r="11" spans="1:17">
      <c r="J11" s="7"/>
      <c r="K11" s="7"/>
      <c r="L11" s="7"/>
      <c r="M11" s="5"/>
      <c r="N11" s="5"/>
      <c r="O11" s="5"/>
    </row>
    <row r="12" spans="1:17">
      <c r="H12" s="5"/>
      <c r="I12" s="5"/>
      <c r="J12" s="7"/>
      <c r="K12" s="7"/>
      <c r="L12" s="7"/>
      <c r="M12" s="5"/>
      <c r="N12" s="5"/>
      <c r="O12" s="5"/>
      <c r="P12" s="5"/>
      <c r="Q12" s="5"/>
    </row>
    <row r="13" spans="1:17">
      <c r="H13" s="5"/>
      <c r="I13" s="5"/>
      <c r="J13" s="7"/>
      <c r="K13" s="7"/>
      <c r="L13" s="7"/>
      <c r="M13" s="5"/>
      <c r="N13" s="5"/>
      <c r="O13" s="5"/>
      <c r="P13" s="5"/>
      <c r="Q13" s="5"/>
    </row>
    <row r="14" spans="1:17">
      <c r="H14" s="5"/>
      <c r="I14" s="5"/>
      <c r="J14" s="7"/>
      <c r="K14" s="7"/>
      <c r="L14" s="7"/>
      <c r="M14" s="5"/>
      <c r="N14" s="5"/>
      <c r="O14" s="5"/>
      <c r="P14" s="5"/>
      <c r="Q14" s="5"/>
    </row>
    <row r="15" spans="1:17">
      <c r="H15" s="5"/>
      <c r="I15" s="5"/>
      <c r="J15" s="7"/>
      <c r="K15" s="7"/>
      <c r="L15" s="7"/>
      <c r="M15" s="5"/>
      <c r="N15" s="5"/>
      <c r="O15" s="5"/>
      <c r="P15" s="5"/>
      <c r="Q15" s="5"/>
    </row>
    <row r="16" spans="1:17">
      <c r="H16" s="5"/>
      <c r="I16" s="5"/>
      <c r="J16" s="7"/>
      <c r="K16" s="7"/>
      <c r="L16" s="7"/>
      <c r="M16" s="5"/>
      <c r="N16" s="5"/>
      <c r="O16" s="5"/>
      <c r="P16" s="5"/>
      <c r="Q16" s="5"/>
    </row>
    <row r="17" spans="8:17">
      <c r="H17" s="5"/>
      <c r="I17" s="5"/>
      <c r="J17" s="7"/>
      <c r="K17" s="7"/>
      <c r="L17" s="7"/>
      <c r="M17" s="5"/>
      <c r="N17" s="5"/>
      <c r="O17" s="5"/>
      <c r="P17" s="5"/>
      <c r="Q17" s="5"/>
    </row>
    <row r="18" spans="8:17">
      <c r="H18" s="5"/>
      <c r="I18" s="5"/>
      <c r="J18" s="7"/>
      <c r="K18" s="7"/>
      <c r="L18" s="7"/>
      <c r="M18" s="5"/>
      <c r="N18" s="5"/>
      <c r="O18" s="5"/>
      <c r="P18" s="5"/>
      <c r="Q18" s="5"/>
    </row>
    <row r="19" spans="8:17">
      <c r="H19" s="5"/>
      <c r="I19" s="5"/>
      <c r="J19" s="7"/>
      <c r="K19" s="7"/>
      <c r="L19" s="7"/>
      <c r="M19" s="5"/>
      <c r="N19" s="5"/>
      <c r="O19" s="5"/>
      <c r="P19" s="5"/>
      <c r="Q19" s="5"/>
    </row>
    <row r="20" spans="8:17">
      <c r="H20" s="5"/>
      <c r="I20" s="5"/>
      <c r="J20" s="7"/>
      <c r="K20" s="7"/>
      <c r="L20" s="7"/>
      <c r="M20" s="5"/>
      <c r="N20" s="5"/>
      <c r="O20" s="5"/>
      <c r="P20" s="5"/>
      <c r="Q20" s="5"/>
    </row>
    <row r="21" spans="8:17">
      <c r="J21" s="7"/>
      <c r="K21" s="7"/>
      <c r="L21" s="7"/>
      <c r="M21" s="5"/>
      <c r="N21" s="5"/>
      <c r="O21" s="5"/>
    </row>
    <row r="22" spans="8:17">
      <c r="J22" s="7"/>
      <c r="K22" s="7"/>
      <c r="L22" s="7"/>
      <c r="M22" s="5"/>
      <c r="N22" s="5"/>
      <c r="O22" s="5"/>
    </row>
    <row r="23" spans="8:17">
      <c r="J23" s="7"/>
      <c r="K23" s="7"/>
      <c r="L23" s="7"/>
    </row>
    <row r="24" spans="8:17">
      <c r="J24" s="7"/>
      <c r="K24" s="7"/>
      <c r="L24" s="7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2026-05-22T10:48:45Z</dcterms:created>
  <dcterms:modified xsi:type="dcterms:W3CDTF">2026-05-22T12:54:36Z</dcterms:modified>
  <cp:category/>
  <cp:contentStatus/>
</cp:coreProperties>
</file>